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e_Incidents" sheetId="1" state="visible" r:id="rId1"/>
    <sheet xmlns:r="http://schemas.openxmlformats.org/officeDocument/2006/relationships" name="Tableau_de_bord" sheetId="2" state="visible" r:id="rId2"/>
    <sheet xmlns:r="http://schemas.openxmlformats.org/officeDocument/2006/relationships" name="Guide_Demarrage" sheetId="3" state="visible" r:id="rId3"/>
    <sheet xmlns:r="http://schemas.openxmlformats.org/officeDocument/2006/relationships" name="Listes" sheetId="4" state="visible" r:id="rId4"/>
    <sheet xmlns:r="http://schemas.openxmlformats.org/officeDocument/2006/relationships" name="Parametres_SLA" sheetId="5" state="visible" r:id="rId5"/>
  </sheets>
  <definedNames>
    <definedName name="_xlnm._FilterDatabase" localSheetId="0" hidden="1">'Registre_Incidents'!$A$5:$X$205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 hh:mm"/>
    <numFmt numFmtId="166" formatCode="hh:mm"/>
    <numFmt numFmtId="167" formatCode="0.0"/>
  </numFmts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D85B5B"/>
    </font>
    <font>
      <b val="1"/>
      <color rgb="00FFFFFF"/>
    </font>
    <font>
      <b val="1"/>
      <color rgb="0052707F"/>
    </font>
    <font>
      <b val="1"/>
      <color rgb="00102433"/>
      <sz val="16"/>
    </font>
    <font>
      <b val="1"/>
      <color rgb="00102433"/>
      <sz val="14"/>
    </font>
    <font>
      <b val="1"/>
      <color rgb="00D85B5B"/>
    </font>
    <font>
      <b val="1"/>
      <color rgb="0013B8C8"/>
    </font>
  </fonts>
  <fills count="5">
    <fill>
      <patternFill/>
    </fill>
    <fill>
      <patternFill patternType="gray125"/>
    </fill>
    <fill>
      <patternFill patternType="solid">
        <fgColor rgb="00102433"/>
      </patternFill>
    </fill>
    <fill>
      <patternFill patternType="solid">
        <fgColor rgb="0013B8C8"/>
      </patternFill>
    </fill>
    <fill>
      <patternFill patternType="solid">
        <fgColor rgb="00D85B5B"/>
      </patternFill>
    </fill>
  </fills>
  <borders count="2">
    <border>
      <left/>
      <right/>
      <top/>
      <bottom/>
      <diagonal/>
    </border>
    <border>
      <bottom style="thin">
        <color rgb="00D7E2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0" fontId="6" fillId="0" borderId="1" pivotButton="0" quotePrefix="0" xfId="0"/>
    <xf numFmtId="0" fontId="3" fillId="3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DE2E2"/>
        </patternFill>
      </fill>
    </dxf>
    <dxf>
      <fill>
        <patternFill patternType="solid">
          <fgColor rgb="00DDF5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IncidentsDemoTable" displayName="IncidentsDemoTable" ref="A5:X205" headerRowCount="1">
  <autoFilter ref="A5:X205"/>
  <tableColumns count="24">
    <tableColumn id="1" name="ID incident"/>
    <tableColumn id="2" name="Date ouverture"/>
    <tableColumn id="3" name="Heure"/>
    <tableColumn id="4" name="Source plainte"/>
    <tableColumn id="5" name="Client / utilisateur"/>
    <tableColumn id="6" name="Code client"/>
    <tableColumn id="7" name="Site / AP"/>
    <tableColumn id="8" name="Équipement impacté"/>
    <tableColumn id="9" name="Nature équipement"/>
    <tableColumn id="10" name="IP / Accès"/>
    <tableColumn id="11" name="Localisation"/>
    <tableColumn id="12" name="Catégorie incident"/>
    <tableColumn id="13" name="Priorité"/>
    <tableColumn id="14" name="SLA heures"/>
    <tableColumn id="15" name="Échéance SLA"/>
    <tableColumn id="16" name="Responsable"/>
    <tableColumn id="17" name="Statut"/>
    <tableColumn id="18" name="Date résolution"/>
    <tableColumn id="19" name="Durée heures"/>
    <tableColumn id="20" name="SLA respecté"/>
    <tableColumn id="21" name="Cause racine"/>
    <tableColumn id="22" name="Action corrective"/>
    <tableColumn id="23" name="Escalade"/>
    <tableColumn id="24" name="Commentair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0" customWidth="1" min="3" max="3"/>
    <col width="17" customWidth="1" min="4" max="4"/>
    <col width="27" customWidth="1" min="5" max="5"/>
    <col width="16" customWidth="1" min="6" max="6"/>
    <col width="25" customWidth="1" min="7" max="7"/>
    <col width="22" customWidth="1" min="8" max="8"/>
    <col width="14" customWidth="1" min="9" max="9"/>
    <col width="18" customWidth="1" min="10" max="10"/>
    <col width="24" customWidth="1" min="11" max="11"/>
    <col width="25" customWidth="1" min="12" max="12"/>
    <col width="12" customWidth="1" min="13" max="13"/>
    <col width="11" customWidth="1" min="14" max="14"/>
    <col width="20" customWidth="1" min="15" max="15"/>
    <col width="19" customWidth="1" min="16" max="16"/>
    <col width="16" customWidth="1" min="17" max="17"/>
    <col width="20" customWidth="1" min="18" max="18"/>
    <col width="14" customWidth="1" min="19" max="19"/>
    <col width="14" customWidth="1" min="20" max="20"/>
    <col width="25" customWidth="1" min="21" max="21"/>
    <col width="30" customWidth="1" min="22" max="22"/>
    <col width="18" customWidth="1" min="23" max="23"/>
    <col width="35" customWidth="1" min="24" max="24"/>
  </cols>
  <sheetData>
    <row r="1">
      <c r="A1" s="1" t="inlineStr">
        <is>
          <t>Registre d’incidents — FAI AllSolutions — DÉMO SYNTHÉTIQUE</t>
        </is>
      </c>
    </row>
    <row r="2">
      <c r="A2" s="2" t="inlineStr">
        <is>
          <t>Toutes les données de ce fichier sont fictives et destinées aux essais, à la formation et à la démonstration.</t>
        </is>
      </c>
    </row>
    <row r="3"/>
    <row r="4"/>
    <row r="5" ht="36" customHeight="1">
      <c r="A5" s="3" t="inlineStr">
        <is>
          <t>ID incident</t>
        </is>
      </c>
      <c r="B5" s="3" t="inlineStr">
        <is>
          <t>Date ouverture</t>
        </is>
      </c>
      <c r="C5" s="3" t="inlineStr">
        <is>
          <t>Heure</t>
        </is>
      </c>
      <c r="D5" s="3" t="inlineStr">
        <is>
          <t>Source plainte</t>
        </is>
      </c>
      <c r="E5" s="3" t="inlineStr">
        <is>
          <t>Client / utilisateur</t>
        </is>
      </c>
      <c r="F5" s="3" t="inlineStr">
        <is>
          <t>Code client</t>
        </is>
      </c>
      <c r="G5" s="3" t="inlineStr">
        <is>
          <t>Site / AP</t>
        </is>
      </c>
      <c r="H5" s="3" t="inlineStr">
        <is>
          <t>Équipement impacté</t>
        </is>
      </c>
      <c r="I5" s="3" t="inlineStr">
        <is>
          <t>Nature équipement</t>
        </is>
      </c>
      <c r="J5" s="3" t="inlineStr">
        <is>
          <t>IP / Accès</t>
        </is>
      </c>
      <c r="K5" s="3" t="inlineStr">
        <is>
          <t>Localisation</t>
        </is>
      </c>
      <c r="L5" s="3" t="inlineStr">
        <is>
          <t>Catégorie incident</t>
        </is>
      </c>
      <c r="M5" s="3" t="inlineStr">
        <is>
          <t>Priorité</t>
        </is>
      </c>
      <c r="N5" s="3" t="inlineStr">
        <is>
          <t>SLA heures</t>
        </is>
      </c>
      <c r="O5" s="3" t="inlineStr">
        <is>
          <t>Échéance SLA</t>
        </is>
      </c>
      <c r="P5" s="3" t="inlineStr">
        <is>
          <t>Responsable</t>
        </is>
      </c>
      <c r="Q5" s="3" t="inlineStr">
        <is>
          <t>Statut</t>
        </is>
      </c>
      <c r="R5" s="3" t="inlineStr">
        <is>
          <t>Date résolution</t>
        </is>
      </c>
      <c r="S5" s="3" t="inlineStr">
        <is>
          <t>Durée heures</t>
        </is>
      </c>
      <c r="T5" s="3" t="inlineStr">
        <is>
          <t>SLA respecté</t>
        </is>
      </c>
      <c r="U5" s="3" t="inlineStr">
        <is>
          <t>Cause racine</t>
        </is>
      </c>
      <c r="V5" s="3" t="inlineStr">
        <is>
          <t>Action corrective</t>
        </is>
      </c>
      <c r="W5" s="3" t="inlineStr">
        <is>
          <t>Escalade</t>
        </is>
      </c>
      <c r="X5" s="3" t="inlineStr">
        <is>
          <t>Commentaires</t>
        </is>
      </c>
    </row>
    <row r="6">
      <c r="A6" s="4" t="inlineStr">
        <is>
          <t>Inc-Demo-0001</t>
        </is>
      </c>
      <c r="B6" s="5" t="n">
        <v>46266.30208333334</v>
      </c>
      <c r="C6" s="6" t="n">
        <v>0.3020833333333333</v>
      </c>
      <c r="D6" s="4" t="inlineStr">
        <is>
          <t>Appel</t>
        </is>
      </c>
      <c r="E6" s="4" t="inlineStr">
        <is>
          <t>Client Démo Alpha</t>
        </is>
      </c>
      <c r="F6" s="4" t="inlineStr">
        <is>
          <t>DEMO-0001</t>
        </is>
      </c>
      <c r="G6" s="4" t="inlineStr">
        <is>
          <t>Site Démo Nord</t>
        </is>
      </c>
      <c r="H6" s="4" t="inlineStr">
        <is>
          <t>Routeur-DEMO-01</t>
        </is>
      </c>
      <c r="I6" s="4" t="inlineStr">
        <is>
          <t>Antenne</t>
        </is>
      </c>
      <c r="J6" s="4" t="inlineStr">
        <is>
          <t>10.99.1.20</t>
        </is>
      </c>
      <c r="K6" s="4" t="inlineStr">
        <is>
          <t>Zone Démo A</t>
        </is>
      </c>
      <c r="L6" s="4" t="inlineStr">
        <is>
          <t>Internet indisponible</t>
        </is>
      </c>
      <c r="M6" s="4" t="inlineStr">
        <is>
          <t>Critique</t>
        </is>
      </c>
      <c r="N6" s="4">
        <f>IF(M6="","",VLOOKUP(M6,Parametres_SLA!$A$5:$B$8,2,FALSE))</f>
        <v/>
      </c>
      <c r="O6" s="5">
        <f>IF(B6="","",B6+C6+N6/24)</f>
        <v/>
      </c>
      <c r="P6" s="4" t="inlineStr">
        <is>
          <t>NOC</t>
        </is>
      </c>
      <c r="Q6" s="4" t="inlineStr">
        <is>
          <t>Clôturé</t>
        </is>
      </c>
      <c r="R6" s="5" t="n">
        <v>46266.59375</v>
      </c>
      <c r="S6" s="7">
        <f>IF(B6="","",IF(R6&lt;&gt;"",(R6-(B6+C6))*24,(NOW()-(B6+C6))*24))</f>
        <v/>
      </c>
      <c r="T6" s="4">
        <f>IF(B6="","",IF(OR(Q6="Résolu",Q6="Clôturé"),IF(R6&lt;=O6,"Oui","Non"),IF(NOW()&lt;=O6,"En cours","En retard")))</f>
        <v/>
      </c>
      <c r="U6" s="4" t="inlineStr">
        <is>
          <t>Alimentation instable</t>
        </is>
      </c>
      <c r="V6" s="4" t="inlineStr">
        <is>
          <t>Redémarrage contrôlé</t>
        </is>
      </c>
      <c r="W6" s="4" t="inlineStr">
        <is>
          <t>Non</t>
        </is>
      </c>
      <c r="X6" s="4" t="inlineStr">
        <is>
          <t>Donnée synthétique — aucun client réel.</t>
        </is>
      </c>
    </row>
    <row r="7">
      <c r="A7" s="4" t="inlineStr">
        <is>
          <t>Inc-Demo-0002</t>
        </is>
      </c>
      <c r="B7" s="5" t="n">
        <v>46267.09861111111</v>
      </c>
      <c r="C7" s="6" t="n">
        <v>0.09861111111111111</v>
      </c>
      <c r="D7" s="4" t="inlineStr">
        <is>
          <t>WhatsApp</t>
        </is>
      </c>
      <c r="E7" s="4" t="inlineStr">
        <is>
          <t>Client Démo Bravo</t>
        </is>
      </c>
      <c r="F7" s="4" t="inlineStr">
        <is>
          <t>DEMO-0002</t>
        </is>
      </c>
      <c r="G7" s="4" t="inlineStr">
        <is>
          <t>Site Démo Sud</t>
        </is>
      </c>
      <c r="H7" s="4" t="inlineStr">
        <is>
          <t>Routeur-DEMO-02</t>
        </is>
      </c>
      <c r="I7" s="4" t="inlineStr">
        <is>
          <t>CPE</t>
        </is>
      </c>
      <c r="J7" s="4" t="inlineStr">
        <is>
          <t>10.99.1.21</t>
        </is>
      </c>
      <c r="K7" s="4" t="inlineStr">
        <is>
          <t>Zone Démo B</t>
        </is>
      </c>
      <c r="L7" s="4" t="inlineStr">
        <is>
          <t>Débit lent / instable</t>
        </is>
      </c>
      <c r="M7" s="4" t="inlineStr">
        <is>
          <t>Haute</t>
        </is>
      </c>
      <c r="N7" s="4">
        <f>IF(M7="","",VLOOKUP(M7,Parametres_SLA!$A$5:$B$8,2,FALSE))</f>
        <v/>
      </c>
      <c r="O7" s="5">
        <f>IF(B7="","",B7+C7+N7/24)</f>
        <v/>
      </c>
      <c r="P7" s="4" t="inlineStr">
        <is>
          <t>Support niveau 1</t>
        </is>
      </c>
      <c r="Q7" s="4" t="inlineStr">
        <is>
          <t>Résolu</t>
        </is>
      </c>
      <c r="R7" s="5" t="n">
        <v>46267.22361111111</v>
      </c>
      <c r="S7" s="7">
        <f>IF(B7="","",IF(R7&lt;&gt;"",(R7-(B7+C7))*24,(NOW()-(B7+C7))*24))</f>
        <v/>
      </c>
      <c r="T7" s="4">
        <f>IF(B7="","",IF(OR(Q7="Résolu",Q7="Clôturé"),IF(R7&lt;=O7,"Oui","Non"),IF(NOW()&lt;=O7,"En cours","En retard")))</f>
        <v/>
      </c>
      <c r="U7" s="4" t="inlineStr">
        <is>
          <t>Congestion simulée</t>
        </is>
      </c>
      <c r="V7" s="4" t="inlineStr">
        <is>
          <t>Réglage profil</t>
        </is>
      </c>
      <c r="W7" s="4" t="inlineStr">
        <is>
          <t>Oui - N2</t>
        </is>
      </c>
      <c r="X7" s="4" t="inlineStr">
        <is>
          <t>Donnée synthétique — aucun client réel.</t>
        </is>
      </c>
    </row>
    <row r="8">
      <c r="A8" s="4" t="inlineStr">
        <is>
          <t>Inc-Demo-0003</t>
        </is>
      </c>
      <c r="B8" s="5" t="n">
        <v>46267.89513888889</v>
      </c>
      <c r="C8" s="6" t="n">
        <v>0.8951388888888889</v>
      </c>
      <c r="D8" s="4" t="inlineStr">
        <is>
          <t>Email</t>
        </is>
      </c>
      <c r="E8" s="4" t="inlineStr">
        <is>
          <t>Client Démo Charlie</t>
        </is>
      </c>
      <c r="F8" s="4" t="inlineStr">
        <is>
          <t>DEMO-0003</t>
        </is>
      </c>
      <c r="G8" s="4" t="inlineStr">
        <is>
          <t>Site Démo Est</t>
        </is>
      </c>
      <c r="H8" s="4" t="inlineStr">
        <is>
          <t>Routeur-DEMO-03</t>
        </is>
      </c>
      <c r="I8" s="4" t="inlineStr">
        <is>
          <t>CPE</t>
        </is>
      </c>
      <c r="J8" s="4" t="inlineStr">
        <is>
          <t>10.99.1.22</t>
        </is>
      </c>
      <c r="K8" s="4" t="inlineStr">
        <is>
          <t>Zone Démo C</t>
        </is>
      </c>
      <c r="L8" s="4" t="inlineStr">
        <is>
          <t>Latence élevée</t>
        </is>
      </c>
      <c r="M8" s="4" t="inlineStr">
        <is>
          <t>Moyenne</t>
        </is>
      </c>
      <c r="N8" s="4">
        <f>IF(M8="","",VLOOKUP(M8,Parametres_SLA!$A$5:$B$8,2,FALSE))</f>
        <v/>
      </c>
      <c r="O8" s="5">
        <f>IF(B8="","",B8+C8+N8/24)</f>
        <v/>
      </c>
      <c r="P8" s="4" t="inlineStr">
        <is>
          <t>Support niveau 2</t>
        </is>
      </c>
      <c r="Q8" s="4" t="inlineStr">
        <is>
          <t>Ouvert</t>
        </is>
      </c>
      <c r="R8" s="8" t="n"/>
      <c r="S8" s="7">
        <f>IF(B8="","",IF(R8&lt;&gt;"",(R8-(B8+C8))*24,(NOW()-(B8+C8))*24))</f>
        <v/>
      </c>
      <c r="T8" s="4">
        <f>IF(B8="","",IF(OR(Q8="Résolu",Q8="Clôturé"),IF(R8&lt;=O8,"Oui","Non"),IF(NOW()&lt;=O8,"En cours","En retard")))</f>
        <v/>
      </c>
      <c r="U8" s="4" t="inlineStr">
        <is>
          <t>Configuration CPE</t>
        </is>
      </c>
      <c r="V8" s="4" t="inlineStr">
        <is>
          <t>Remplacement préventif</t>
        </is>
      </c>
      <c r="W8" s="4" t="inlineStr">
        <is>
          <t>Oui - Terrain</t>
        </is>
      </c>
      <c r="X8" s="4" t="inlineStr">
        <is>
          <t>Donnée synthétique — aucun client réel.</t>
        </is>
      </c>
    </row>
    <row r="9">
      <c r="A9" s="4" t="inlineStr">
        <is>
          <t>Inc-Demo-0004</t>
        </is>
      </c>
      <c r="B9" s="5" t="n">
        <v>46268.69166666667</v>
      </c>
      <c r="C9" s="6" t="n">
        <v>0.6916666666666667</v>
      </c>
      <c r="D9" s="4" t="inlineStr">
        <is>
          <t>Supervision UISP</t>
        </is>
      </c>
      <c r="E9" s="4" t="inlineStr">
        <is>
          <t>Client Démo Delta</t>
        </is>
      </c>
      <c r="F9" s="4" t="inlineStr">
        <is>
          <t>DEMO-0004</t>
        </is>
      </c>
      <c r="G9" s="4" t="inlineStr">
        <is>
          <t>Site Démo Ouest</t>
        </is>
      </c>
      <c r="H9" s="4" t="inlineStr">
        <is>
          <t>Routeur-DEMO-04</t>
        </is>
      </c>
      <c r="I9" s="4" t="inlineStr">
        <is>
          <t>Antenne</t>
        </is>
      </c>
      <c r="J9" s="4" t="inlineStr">
        <is>
          <t>10.99.1.23</t>
        </is>
      </c>
      <c r="K9" s="4" t="inlineStr">
        <is>
          <t>Zone Démo D</t>
        </is>
      </c>
      <c r="L9" s="4" t="inlineStr">
        <is>
          <t>Coupure intermittente</t>
        </is>
      </c>
      <c r="M9" s="4" t="inlineStr">
        <is>
          <t>Basse</t>
        </is>
      </c>
      <c r="N9" s="4">
        <f>IF(M9="","",VLOOKUP(M9,Parametres_SLA!$A$5:$B$8,2,FALSE))</f>
        <v/>
      </c>
      <c r="O9" s="5">
        <f>IF(B9="","",B9+C9+N9/24)</f>
        <v/>
      </c>
      <c r="P9" s="4" t="inlineStr">
        <is>
          <t>Équipe terrain</t>
        </is>
      </c>
      <c r="Q9" s="4" t="inlineStr">
        <is>
          <t>En cours</t>
        </is>
      </c>
      <c r="R9" s="8" t="n"/>
      <c r="S9" s="7">
        <f>IF(B9="","",IF(R9&lt;&gt;"",(R9-(B9+C9))*24,(NOW()-(B9+C9))*24))</f>
        <v/>
      </c>
      <c r="T9" s="4">
        <f>IF(B9="","",IF(OR(Q9="Résolu",Q9="Clôturé"),IF(R9&lt;=O9,"Oui","Non"),IF(NOW()&lt;=O9,"En cours","En retard")))</f>
        <v/>
      </c>
      <c r="U9" s="4" t="inlineStr">
        <is>
          <t>Fibre de desserte</t>
        </is>
      </c>
      <c r="V9" s="4" t="inlineStr">
        <is>
          <t>Visite terrain planifiée</t>
        </is>
      </c>
      <c r="W9" s="4" t="inlineStr">
        <is>
          <t>Oui - Fournisseur</t>
        </is>
      </c>
      <c r="X9" s="4" t="inlineStr">
        <is>
          <t>Donnée synthétique — aucun client réel.</t>
        </is>
      </c>
    </row>
    <row r="10">
      <c r="A10" s="4" t="inlineStr">
        <is>
          <t>Inc-Demo-0005</t>
        </is>
      </c>
      <c r="B10" s="5" t="n">
        <v>46269.48819444444</v>
      </c>
      <c r="C10" s="6" t="n">
        <v>0.4881944444444444</v>
      </c>
      <c r="D10" s="4" t="inlineStr">
        <is>
          <t>Visite terrain</t>
        </is>
      </c>
      <c r="E10" s="4" t="inlineStr">
        <is>
          <t>Client Démo Echo</t>
        </is>
      </c>
      <c r="F10" s="4" t="inlineStr">
        <is>
          <t>DEMO-0005</t>
        </is>
      </c>
      <c r="G10" s="4" t="inlineStr">
        <is>
          <t>Site Démo Central</t>
        </is>
      </c>
      <c r="H10" s="4" t="inlineStr">
        <is>
          <t>Routeur-DEMO-05</t>
        </is>
      </c>
      <c r="I10" s="4" t="inlineStr">
        <is>
          <t>CPE</t>
        </is>
      </c>
      <c r="J10" s="4" t="inlineStr">
        <is>
          <t>10.99.1.24</t>
        </is>
      </c>
      <c r="K10" s="4" t="inlineStr">
        <is>
          <t>Zone Démo E</t>
        </is>
      </c>
      <c r="L10" s="4" t="inlineStr">
        <is>
          <t>Wi-Fi client</t>
        </is>
      </c>
      <c r="M10" s="4" t="inlineStr">
        <is>
          <t>Haute</t>
        </is>
      </c>
      <c r="N10" s="4">
        <f>IF(M10="","",VLOOKUP(M10,Parametres_SLA!$A$5:$B$8,2,FALSE))</f>
        <v/>
      </c>
      <c r="O10" s="5">
        <f>IF(B10="","",B10+C10+N10/24)</f>
        <v/>
      </c>
      <c r="P10" s="4" t="inlineStr">
        <is>
          <t>Administration</t>
        </is>
      </c>
      <c r="Q10" s="4" t="inlineStr">
        <is>
          <t>Escaladé</t>
        </is>
      </c>
      <c r="R10" s="8" t="n"/>
      <c r="S10" s="7">
        <f>IF(B10="","",IF(R10&lt;&gt;"",(R10-(B10+C10))*24,(NOW()-(B10+C10))*24))</f>
        <v/>
      </c>
      <c r="T10" s="4">
        <f>IF(B10="","",IF(OR(Q10="Résolu",Q10="Clôturé"),IF(R10&lt;=O10,"Oui","Non"),IF(NOW()&lt;=O10,"En cours","En retard")))</f>
        <v/>
      </c>
      <c r="U10" s="4" t="inlineStr">
        <is>
          <t>Redémarrage équipement</t>
        </is>
      </c>
      <c r="V10" s="4" t="inlineStr">
        <is>
          <t>Surveillance renforcée</t>
        </is>
      </c>
      <c r="W10" s="4" t="inlineStr">
        <is>
          <t>Oui - Direction</t>
        </is>
      </c>
      <c r="X10" s="4" t="inlineStr">
        <is>
          <t>Donnée synthétique — aucun client réel.</t>
        </is>
      </c>
    </row>
    <row r="11">
      <c r="A11" s="4" t="inlineStr">
        <is>
          <t>Inc-Demo-0006</t>
        </is>
      </c>
      <c r="B11" s="5" t="n">
        <v>46270.28472222222</v>
      </c>
      <c r="C11" s="6" t="n">
        <v>0.2847222222222222</v>
      </c>
      <c r="D11" s="4" t="inlineStr">
        <is>
          <t>Autre</t>
        </is>
      </c>
      <c r="E11" s="4" t="inlineStr">
        <is>
          <t>Client Démo Foxtrot</t>
        </is>
      </c>
      <c r="F11" s="4" t="inlineStr">
        <is>
          <t>DEMO-0006</t>
        </is>
      </c>
      <c r="G11" s="4" t="inlineStr">
        <is>
          <t>Site Démo Nord</t>
        </is>
      </c>
      <c r="H11" s="4" t="inlineStr">
        <is>
          <t>Routeur-DEMO-06</t>
        </is>
      </c>
      <c r="I11" s="4" t="inlineStr">
        <is>
          <t>CPE</t>
        </is>
      </c>
      <c r="J11" s="4" t="inlineStr">
        <is>
          <t>10.99.1.25</t>
        </is>
      </c>
      <c r="K11" s="4" t="inlineStr">
        <is>
          <t>Zone Démo A</t>
        </is>
      </c>
      <c r="L11" s="4" t="inlineStr">
        <is>
          <t>Équipement hors ligne</t>
        </is>
      </c>
      <c r="M11" s="4" t="inlineStr">
        <is>
          <t>Moyenne</t>
        </is>
      </c>
      <c r="N11" s="4">
        <f>IF(M11="","",VLOOKUP(M11,Parametres_SLA!$A$5:$B$8,2,FALSE))</f>
        <v/>
      </c>
      <c r="O11" s="5">
        <f>IF(B11="","",B11+C11+N11/24)</f>
        <v/>
      </c>
      <c r="P11" s="4" t="inlineStr">
        <is>
          <t>À assigner</t>
        </is>
      </c>
      <c r="Q11" s="4" t="inlineStr">
        <is>
          <t>En attente client</t>
        </is>
      </c>
      <c r="R11" s="8" t="n"/>
      <c r="S11" s="7">
        <f>IF(B11="","",IF(R11&lt;&gt;"",(R11-(B11+C11))*24,(NOW()-(B11+C11))*24))</f>
        <v/>
      </c>
      <c r="T11" s="4">
        <f>IF(B11="","",IF(OR(Q11="Résolu",Q11="Clôturé"),IF(R11&lt;=O11,"Oui","Non"),IF(NOW()&lt;=O11,"En cours","En retard")))</f>
        <v/>
      </c>
      <c r="U11" s="4" t="inlineStr">
        <is>
          <t>Alimentation instable</t>
        </is>
      </c>
      <c r="V11" s="4" t="inlineStr">
        <is>
          <t>Redémarrage contrôlé</t>
        </is>
      </c>
      <c r="W11" s="4" t="inlineStr">
        <is>
          <t>Non</t>
        </is>
      </c>
      <c r="X11" s="4" t="inlineStr">
        <is>
          <t>Donnée synthétique — aucun client réel.</t>
        </is>
      </c>
    </row>
    <row r="12">
      <c r="A12" s="4" t="inlineStr">
        <is>
          <t>Inc-Demo-0007</t>
        </is>
      </c>
      <c r="B12" s="5" t="n">
        <v>46271.08125</v>
      </c>
      <c r="C12" s="6" t="n">
        <v>0.08125</v>
      </c>
      <c r="D12" s="4" t="inlineStr">
        <is>
          <t>Appel</t>
        </is>
      </c>
      <c r="E12" s="4" t="inlineStr">
        <is>
          <t>Client Démo Golf</t>
        </is>
      </c>
      <c r="F12" s="4" t="inlineStr">
        <is>
          <t>DEMO-0007</t>
        </is>
      </c>
      <c r="G12" s="4" t="inlineStr">
        <is>
          <t>Site Démo Sud</t>
        </is>
      </c>
      <c r="H12" s="4" t="inlineStr">
        <is>
          <t>Routeur-DEMO-07</t>
        </is>
      </c>
      <c r="I12" s="4" t="inlineStr">
        <is>
          <t>Antenne</t>
        </is>
      </c>
      <c r="J12" s="4" t="inlineStr">
        <is>
          <t>10.99.1.26</t>
        </is>
      </c>
      <c r="K12" s="4" t="inlineStr">
        <is>
          <t>Zone Démo B</t>
        </is>
      </c>
      <c r="L12" s="4" t="inlineStr">
        <is>
          <t>Problème alimentation</t>
        </is>
      </c>
      <c r="M12" s="4" t="inlineStr">
        <is>
          <t>Critique</t>
        </is>
      </c>
      <c r="N12" s="4">
        <f>IF(M12="","",VLOOKUP(M12,Parametres_SLA!$A$5:$B$8,2,FALSE))</f>
        <v/>
      </c>
      <c r="O12" s="5">
        <f>IF(B12="","",B12+C12+N12/24)</f>
        <v/>
      </c>
      <c r="P12" s="4" t="inlineStr">
        <is>
          <t>NOC</t>
        </is>
      </c>
      <c r="Q12" s="4" t="inlineStr">
        <is>
          <t>Clôturé</t>
        </is>
      </c>
      <c r="R12" s="5" t="n">
        <v>46271.20625</v>
      </c>
      <c r="S12" s="7">
        <f>IF(B12="","",IF(R12&lt;&gt;"",(R12-(B12+C12))*24,(NOW()-(B12+C12))*24))</f>
        <v/>
      </c>
      <c r="T12" s="4">
        <f>IF(B12="","",IF(OR(Q12="Résolu",Q12="Clôturé"),IF(R12&lt;=O12,"Oui","Non"),IF(NOW()&lt;=O12,"En cours","En retard")))</f>
        <v/>
      </c>
      <c r="U12" s="4" t="inlineStr">
        <is>
          <t>Congestion simulée</t>
        </is>
      </c>
      <c r="V12" s="4" t="inlineStr">
        <is>
          <t>Réglage profil</t>
        </is>
      </c>
      <c r="W12" s="4" t="inlineStr">
        <is>
          <t>Oui - N2</t>
        </is>
      </c>
      <c r="X12" s="4" t="inlineStr">
        <is>
          <t>Donnée synthétique — aucun client réel.</t>
        </is>
      </c>
    </row>
    <row r="13">
      <c r="A13" s="4" t="inlineStr">
        <is>
          <t>Inc-Demo-0008</t>
        </is>
      </c>
      <c r="B13" s="5" t="n">
        <v>46271.87777777778</v>
      </c>
      <c r="C13" s="6" t="n">
        <v>0.8777777777777778</v>
      </c>
      <c r="D13" s="4" t="inlineStr">
        <is>
          <t>WhatsApp</t>
        </is>
      </c>
      <c r="E13" s="4" t="inlineStr">
        <is>
          <t>Client Démo Hotel</t>
        </is>
      </c>
      <c r="F13" s="4" t="inlineStr">
        <is>
          <t>DEMO-0008</t>
        </is>
      </c>
      <c r="G13" s="4" t="inlineStr">
        <is>
          <t>Site Démo Est</t>
        </is>
      </c>
      <c r="H13" s="4" t="inlineStr">
        <is>
          <t>Routeur-DEMO-08</t>
        </is>
      </c>
      <c r="I13" s="4" t="inlineStr">
        <is>
          <t>CPE</t>
        </is>
      </c>
      <c r="J13" s="4" t="inlineStr">
        <is>
          <t>10.99.1.27</t>
        </is>
      </c>
      <c r="K13" s="4" t="inlineStr">
        <is>
          <t>Zone Démo C</t>
        </is>
      </c>
      <c r="L13" s="4" t="inlineStr">
        <is>
          <t>Configuration / accès</t>
        </is>
      </c>
      <c r="M13" s="4" t="inlineStr">
        <is>
          <t>Basse</t>
        </is>
      </c>
      <c r="N13" s="4">
        <f>IF(M13="","",VLOOKUP(M13,Parametres_SLA!$A$5:$B$8,2,FALSE))</f>
        <v/>
      </c>
      <c r="O13" s="5">
        <f>IF(B13="","",B13+C13+N13/24)</f>
        <v/>
      </c>
      <c r="P13" s="4" t="inlineStr">
        <is>
          <t>Support niveau 1</t>
        </is>
      </c>
      <c r="Q13" s="4" t="inlineStr">
        <is>
          <t>Résolu</t>
        </is>
      </c>
      <c r="R13" s="5" t="n">
        <v>46272.04444444444</v>
      </c>
      <c r="S13" s="7">
        <f>IF(B13="","",IF(R13&lt;&gt;"",(R13-(B13+C13))*24,(NOW()-(B13+C13))*24))</f>
        <v/>
      </c>
      <c r="T13" s="4">
        <f>IF(B13="","",IF(OR(Q13="Résolu",Q13="Clôturé"),IF(R13&lt;=O13,"Oui","Non"),IF(NOW()&lt;=O13,"En cours","En retard")))</f>
        <v/>
      </c>
      <c r="U13" s="4" t="inlineStr">
        <is>
          <t>Configuration CPE</t>
        </is>
      </c>
      <c r="V13" s="4" t="inlineStr">
        <is>
          <t>Remplacement préventif</t>
        </is>
      </c>
      <c r="W13" s="4" t="inlineStr">
        <is>
          <t>Oui - Terrain</t>
        </is>
      </c>
      <c r="X13" s="4" t="inlineStr">
        <is>
          <t>Donnée synthétique — aucun client réel.</t>
        </is>
      </c>
    </row>
    <row r="14">
      <c r="A14" s="4" t="inlineStr">
        <is>
          <t>Inc-Demo-0009</t>
        </is>
      </c>
      <c r="B14" s="5" t="n">
        <v>46272.67430555556</v>
      </c>
      <c r="C14" s="6" t="n">
        <v>0.6743055555555556</v>
      </c>
      <c r="D14" s="4" t="inlineStr">
        <is>
          <t>Email</t>
        </is>
      </c>
      <c r="E14" s="4" t="inlineStr">
        <is>
          <t>Client Démo India</t>
        </is>
      </c>
      <c r="F14" s="4" t="inlineStr">
        <is>
          <t>DEMO-0009</t>
        </is>
      </c>
      <c r="G14" s="4" t="inlineStr">
        <is>
          <t>Site Démo Ouest</t>
        </is>
      </c>
      <c r="H14" s="4" t="inlineStr">
        <is>
          <t>Routeur-DEMO-01</t>
        </is>
      </c>
      <c r="I14" s="4" t="inlineStr">
        <is>
          <t>CPE</t>
        </is>
      </c>
      <c r="J14" s="4" t="inlineStr">
        <is>
          <t>10.99.1.28</t>
        </is>
      </c>
      <c r="K14" s="4" t="inlineStr">
        <is>
          <t>Zone Démo D</t>
        </is>
      </c>
      <c r="L14" s="4" t="inlineStr">
        <is>
          <t>Facturation liée au service</t>
        </is>
      </c>
      <c r="M14" s="4" t="inlineStr">
        <is>
          <t>Moyenne</t>
        </is>
      </c>
      <c r="N14" s="4">
        <f>IF(M14="","",VLOOKUP(M14,Parametres_SLA!$A$5:$B$8,2,FALSE))</f>
        <v/>
      </c>
      <c r="O14" s="5">
        <f>IF(B14="","",B14+C14+N14/24)</f>
        <v/>
      </c>
      <c r="P14" s="4" t="inlineStr">
        <is>
          <t>Support niveau 2</t>
        </is>
      </c>
      <c r="Q14" s="4" t="inlineStr">
        <is>
          <t>En cours</t>
        </is>
      </c>
      <c r="R14" s="8" t="n"/>
      <c r="S14" s="7">
        <f>IF(B14="","",IF(R14&lt;&gt;"",(R14-(B14+C14))*24,(NOW()-(B14+C14))*24))</f>
        <v/>
      </c>
      <c r="T14" s="4">
        <f>IF(B14="","",IF(OR(Q14="Résolu",Q14="Clôturé"),IF(R14&lt;=O14,"Oui","Non"),IF(NOW()&lt;=O14,"En cours","En retard")))</f>
        <v/>
      </c>
      <c r="U14" s="4" t="inlineStr">
        <is>
          <t>Fibre de desserte</t>
        </is>
      </c>
      <c r="V14" s="4" t="inlineStr">
        <is>
          <t>Visite terrain planifiée</t>
        </is>
      </c>
      <c r="W14" s="4" t="inlineStr">
        <is>
          <t>Oui - Fournisseur</t>
        </is>
      </c>
      <c r="X14" s="4" t="inlineStr">
        <is>
          <t>Donnée synthétique — aucun client réel.</t>
        </is>
      </c>
    </row>
    <row r="15">
      <c r="A15" s="4" t="inlineStr">
        <is>
          <t>Inc-Demo-0010</t>
        </is>
      </c>
      <c r="B15" s="5" t="n">
        <v>46273.42916666667</v>
      </c>
      <c r="C15" s="6" t="n">
        <v>0.4291666666666666</v>
      </c>
      <c r="D15" s="4" t="inlineStr">
        <is>
          <t>Supervision UISP</t>
        </is>
      </c>
      <c r="E15" s="4" t="inlineStr">
        <is>
          <t>Client Démo Juliett</t>
        </is>
      </c>
      <c r="F15" s="4" t="inlineStr">
        <is>
          <t>DEMO-0010</t>
        </is>
      </c>
      <c r="G15" s="4" t="inlineStr">
        <is>
          <t>Site Démo Central</t>
        </is>
      </c>
      <c r="H15" s="4" t="inlineStr">
        <is>
          <t>Routeur-DEMO-02</t>
        </is>
      </c>
      <c r="I15" s="4" t="inlineStr">
        <is>
          <t>Antenne</t>
        </is>
      </c>
      <c r="J15" s="4" t="inlineStr">
        <is>
          <t>10.99.1.29</t>
        </is>
      </c>
      <c r="K15" s="4" t="inlineStr">
        <is>
          <t>Zone Démo E</t>
        </is>
      </c>
      <c r="L15" s="4" t="inlineStr">
        <is>
          <t>Autre</t>
        </is>
      </c>
      <c r="M15" s="4" t="inlineStr">
        <is>
          <t>Haute</t>
        </is>
      </c>
      <c r="N15" s="4">
        <f>IF(M15="","",VLOOKUP(M15,Parametres_SLA!$A$5:$B$8,2,FALSE))</f>
        <v/>
      </c>
      <c r="O15" s="5">
        <f>IF(B15="","",B15+C15+N15/24)</f>
        <v/>
      </c>
      <c r="P15" s="4" t="inlineStr">
        <is>
          <t>Équipe terrain</t>
        </is>
      </c>
      <c r="Q15" s="4" t="inlineStr">
        <is>
          <t>Ouvert</t>
        </is>
      </c>
      <c r="R15" s="8" t="n"/>
      <c r="S15" s="7">
        <f>IF(B15="","",IF(R15&lt;&gt;"",(R15-(B15+C15))*24,(NOW()-(B15+C15))*24))</f>
        <v/>
      </c>
      <c r="T15" s="4">
        <f>IF(B15="","",IF(OR(Q15="Résolu",Q15="Clôturé"),IF(R15&lt;=O15,"Oui","Non"),IF(NOW()&lt;=O15,"En cours","En retard")))</f>
        <v/>
      </c>
      <c r="U15" s="4" t="inlineStr">
        <is>
          <t>Redémarrage équipement</t>
        </is>
      </c>
      <c r="V15" s="4" t="inlineStr">
        <is>
          <t>Surveillance renforcée</t>
        </is>
      </c>
      <c r="W15" s="4" t="inlineStr">
        <is>
          <t>Oui - Direction</t>
        </is>
      </c>
      <c r="X15" s="4" t="inlineStr">
        <is>
          <t>Donnée synthétique — aucun client réel.</t>
        </is>
      </c>
    </row>
    <row r="16">
      <c r="A16" s="4" t="inlineStr">
        <is>
          <t>Inc-Demo-0011</t>
        </is>
      </c>
      <c r="B16" s="5" t="n">
        <v>46274.22569444445</v>
      </c>
      <c r="C16" s="6" t="n">
        <v>0.2256944444444444</v>
      </c>
      <c r="D16" s="4" t="inlineStr">
        <is>
          <t>Visite terrain</t>
        </is>
      </c>
      <c r="E16" s="4" t="inlineStr">
        <is>
          <t>Client Démo Kilo</t>
        </is>
      </c>
      <c r="F16" s="4" t="inlineStr">
        <is>
          <t>DEMO-0011</t>
        </is>
      </c>
      <c r="G16" s="4" t="inlineStr">
        <is>
          <t>Site Démo Nord</t>
        </is>
      </c>
      <c r="H16" s="4" t="inlineStr">
        <is>
          <t>Routeur-DEMO-03</t>
        </is>
      </c>
      <c r="I16" s="4" t="inlineStr">
        <is>
          <t>CPE</t>
        </is>
      </c>
      <c r="J16" s="4" t="inlineStr">
        <is>
          <t>10.99.2.30</t>
        </is>
      </c>
      <c r="K16" s="4" t="inlineStr">
        <is>
          <t>Zone Démo A</t>
        </is>
      </c>
      <c r="L16" s="4" t="inlineStr">
        <is>
          <t>Internet indisponible</t>
        </is>
      </c>
      <c r="M16" s="4" t="inlineStr">
        <is>
          <t>Critique</t>
        </is>
      </c>
      <c r="N16" s="4">
        <f>IF(M16="","",VLOOKUP(M16,Parametres_SLA!$A$5:$B$8,2,FALSE))</f>
        <v/>
      </c>
      <c r="O16" s="5">
        <f>IF(B16="","",B16+C16+N16/24)</f>
        <v/>
      </c>
      <c r="P16" s="4" t="inlineStr">
        <is>
          <t>Administration</t>
        </is>
      </c>
      <c r="Q16" s="4" t="inlineStr">
        <is>
          <t>Clôturé</t>
        </is>
      </c>
      <c r="R16" s="5" t="n">
        <v>46274.30902777778</v>
      </c>
      <c r="S16" s="7">
        <f>IF(B16="","",IF(R16&lt;&gt;"",(R16-(B16+C16))*24,(NOW()-(B16+C16))*24))</f>
        <v/>
      </c>
      <c r="T16" s="4">
        <f>IF(B16="","",IF(OR(Q16="Résolu",Q16="Clôturé"),IF(R16&lt;=O16,"Oui","Non"),IF(NOW()&lt;=O16,"En cours","En retard")))</f>
        <v/>
      </c>
      <c r="U16" s="4" t="inlineStr">
        <is>
          <t>Alimentation instable</t>
        </is>
      </c>
      <c r="V16" s="4" t="inlineStr">
        <is>
          <t>Redémarrage contrôlé</t>
        </is>
      </c>
      <c r="W16" s="4" t="inlineStr">
        <is>
          <t>Non</t>
        </is>
      </c>
      <c r="X16" s="4" t="inlineStr">
        <is>
          <t>Donnée synthétique — aucun client réel.</t>
        </is>
      </c>
    </row>
    <row r="17">
      <c r="A17" s="4" t="inlineStr">
        <is>
          <t>Inc-Demo-0012</t>
        </is>
      </c>
      <c r="B17" s="5" t="n">
        <v>46275.02222222222</v>
      </c>
      <c r="C17" s="6" t="n">
        <v>0.02222222222222222</v>
      </c>
      <c r="D17" s="4" t="inlineStr">
        <is>
          <t>Autre</t>
        </is>
      </c>
      <c r="E17" s="4" t="inlineStr">
        <is>
          <t>Client Démo Lima</t>
        </is>
      </c>
      <c r="F17" s="4" t="inlineStr">
        <is>
          <t>DEMO-0012</t>
        </is>
      </c>
      <c r="G17" s="4" t="inlineStr">
        <is>
          <t>Site Démo Sud</t>
        </is>
      </c>
      <c r="H17" s="4" t="inlineStr">
        <is>
          <t>Routeur-DEMO-04</t>
        </is>
      </c>
      <c r="I17" s="4" t="inlineStr">
        <is>
          <t>CPE</t>
        </is>
      </c>
      <c r="J17" s="4" t="inlineStr">
        <is>
          <t>10.99.2.31</t>
        </is>
      </c>
      <c r="K17" s="4" t="inlineStr">
        <is>
          <t>Zone Démo B</t>
        </is>
      </c>
      <c r="L17" s="4" t="inlineStr">
        <is>
          <t>Débit lent / instable</t>
        </is>
      </c>
      <c r="M17" s="4" t="inlineStr">
        <is>
          <t>Haute</t>
        </is>
      </c>
      <c r="N17" s="4">
        <f>IF(M17="","",VLOOKUP(M17,Parametres_SLA!$A$5:$B$8,2,FALSE))</f>
        <v/>
      </c>
      <c r="O17" s="5">
        <f>IF(B17="","",B17+C17+N17/24)</f>
        <v/>
      </c>
      <c r="P17" s="4" t="inlineStr">
        <is>
          <t>À assigner</t>
        </is>
      </c>
      <c r="Q17" s="4" t="inlineStr">
        <is>
          <t>Résolu</t>
        </is>
      </c>
      <c r="R17" s="5" t="n">
        <v>46275.14722222222</v>
      </c>
      <c r="S17" s="7">
        <f>IF(B17="","",IF(R17&lt;&gt;"",(R17-(B17+C17))*24,(NOW()-(B17+C17))*24))</f>
        <v/>
      </c>
      <c r="T17" s="4">
        <f>IF(B17="","",IF(OR(Q17="Résolu",Q17="Clôturé"),IF(R17&lt;=O17,"Oui","Non"),IF(NOW()&lt;=O17,"En cours","En retard")))</f>
        <v/>
      </c>
      <c r="U17" s="4" t="inlineStr">
        <is>
          <t>Congestion simulée</t>
        </is>
      </c>
      <c r="V17" s="4" t="inlineStr">
        <is>
          <t>Réglage profil</t>
        </is>
      </c>
      <c r="W17" s="4" t="inlineStr">
        <is>
          <t>Oui - N2</t>
        </is>
      </c>
      <c r="X17" s="4" t="inlineStr">
        <is>
          <t>Donnée synthétique — aucun client réel.</t>
        </is>
      </c>
    </row>
    <row r="18">
      <c r="A18" s="4" t="inlineStr">
        <is>
          <t>Inc-Demo-0013</t>
        </is>
      </c>
      <c r="B18" s="5" t="n">
        <v>46275.81875</v>
      </c>
      <c r="C18" s="6" t="n">
        <v>0.81875</v>
      </c>
      <c r="D18" s="4" t="inlineStr">
        <is>
          <t>Appel</t>
        </is>
      </c>
      <c r="E18" s="4" t="inlineStr">
        <is>
          <t>Client Démo Mike</t>
        </is>
      </c>
      <c r="F18" s="4" t="inlineStr">
        <is>
          <t>DEMO-0013</t>
        </is>
      </c>
      <c r="G18" s="4" t="inlineStr">
        <is>
          <t>Site Démo Est</t>
        </is>
      </c>
      <c r="H18" s="4" t="inlineStr">
        <is>
          <t>Routeur-DEMO-05</t>
        </is>
      </c>
      <c r="I18" s="4" t="inlineStr">
        <is>
          <t>Antenne</t>
        </is>
      </c>
      <c r="J18" s="4" t="inlineStr">
        <is>
          <t>10.99.2.32</t>
        </is>
      </c>
      <c r="K18" s="4" t="inlineStr">
        <is>
          <t>Zone Démo C</t>
        </is>
      </c>
      <c r="L18" s="4" t="inlineStr">
        <is>
          <t>Latence élevée</t>
        </is>
      </c>
      <c r="M18" s="4" t="inlineStr">
        <is>
          <t>Moyenne</t>
        </is>
      </c>
      <c r="N18" s="4">
        <f>IF(M18="","",VLOOKUP(M18,Parametres_SLA!$A$5:$B$8,2,FALSE))</f>
        <v/>
      </c>
      <c r="O18" s="5">
        <f>IF(B18="","",B18+C18+N18/24)</f>
        <v/>
      </c>
      <c r="P18" s="4" t="inlineStr">
        <is>
          <t>NOC</t>
        </is>
      </c>
      <c r="Q18" s="4" t="inlineStr">
        <is>
          <t>Ouvert</t>
        </is>
      </c>
      <c r="R18" s="8" t="n"/>
      <c r="S18" s="7">
        <f>IF(B18="","",IF(R18&lt;&gt;"",(R18-(B18+C18))*24,(NOW()-(B18+C18))*24))</f>
        <v/>
      </c>
      <c r="T18" s="4">
        <f>IF(B18="","",IF(OR(Q18="Résolu",Q18="Clôturé"),IF(R18&lt;=O18,"Oui","Non"),IF(NOW()&lt;=O18,"En cours","En retard")))</f>
        <v/>
      </c>
      <c r="U18" s="4" t="inlineStr">
        <is>
          <t>Configuration CPE</t>
        </is>
      </c>
      <c r="V18" s="4" t="inlineStr">
        <is>
          <t>Remplacement préventif</t>
        </is>
      </c>
      <c r="W18" s="4" t="inlineStr">
        <is>
          <t>Oui - Terrain</t>
        </is>
      </c>
      <c r="X18" s="4" t="inlineStr">
        <is>
          <t>Donnée synthétique — aucun client réel.</t>
        </is>
      </c>
    </row>
    <row r="19">
      <c r="A19" s="4" t="inlineStr">
        <is>
          <t>Inc-Demo-0014</t>
        </is>
      </c>
      <c r="B19" s="5" t="n">
        <v>46276.61527777778</v>
      </c>
      <c r="C19" s="6" t="n">
        <v>0.6152777777777778</v>
      </c>
      <c r="D19" s="4" t="inlineStr">
        <is>
          <t>WhatsApp</t>
        </is>
      </c>
      <c r="E19" s="4" t="inlineStr">
        <is>
          <t>Client Démo November</t>
        </is>
      </c>
      <c r="F19" s="4" t="inlineStr">
        <is>
          <t>DEMO-0014</t>
        </is>
      </c>
      <c r="G19" s="4" t="inlineStr">
        <is>
          <t>Site Démo Ouest</t>
        </is>
      </c>
      <c r="H19" s="4" t="inlineStr">
        <is>
          <t>Routeur-DEMO-06</t>
        </is>
      </c>
      <c r="I19" s="4" t="inlineStr">
        <is>
          <t>CPE</t>
        </is>
      </c>
      <c r="J19" s="4" t="inlineStr">
        <is>
          <t>10.99.2.33</t>
        </is>
      </c>
      <c r="K19" s="4" t="inlineStr">
        <is>
          <t>Zone Démo D</t>
        </is>
      </c>
      <c r="L19" s="4" t="inlineStr">
        <is>
          <t>Coupure intermittente</t>
        </is>
      </c>
      <c r="M19" s="4" t="inlineStr">
        <is>
          <t>Basse</t>
        </is>
      </c>
      <c r="N19" s="4">
        <f>IF(M19="","",VLOOKUP(M19,Parametres_SLA!$A$5:$B$8,2,FALSE))</f>
        <v/>
      </c>
      <c r="O19" s="5">
        <f>IF(B19="","",B19+C19+N19/24)</f>
        <v/>
      </c>
      <c r="P19" s="4" t="inlineStr">
        <is>
          <t>Support niveau 1</t>
        </is>
      </c>
      <c r="Q19" s="4" t="inlineStr">
        <is>
          <t>En cours</t>
        </is>
      </c>
      <c r="R19" s="8" t="n"/>
      <c r="S19" s="7">
        <f>IF(B19="","",IF(R19&lt;&gt;"",(R19-(B19+C19))*24,(NOW()-(B19+C19))*24))</f>
        <v/>
      </c>
      <c r="T19" s="4">
        <f>IF(B19="","",IF(OR(Q19="Résolu",Q19="Clôturé"),IF(R19&lt;=O19,"Oui","Non"),IF(NOW()&lt;=O19,"En cours","En retard")))</f>
        <v/>
      </c>
      <c r="U19" s="4" t="inlineStr">
        <is>
          <t>Fibre de desserte</t>
        </is>
      </c>
      <c r="V19" s="4" t="inlineStr">
        <is>
          <t>Visite terrain planifiée</t>
        </is>
      </c>
      <c r="W19" s="4" t="inlineStr">
        <is>
          <t>Oui - Fournisseur</t>
        </is>
      </c>
      <c r="X19" s="4" t="inlineStr">
        <is>
          <t>Donnée synthétique — aucun client réel.</t>
        </is>
      </c>
    </row>
    <row r="20">
      <c r="A20" s="4" t="inlineStr">
        <is>
          <t>Inc-Demo-0015</t>
        </is>
      </c>
      <c r="B20" s="5" t="n">
        <v>46277.41180555556</v>
      </c>
      <c r="C20" s="6" t="n">
        <v>0.4118055555555555</v>
      </c>
      <c r="D20" s="4" t="inlineStr">
        <is>
          <t>Email</t>
        </is>
      </c>
      <c r="E20" s="4" t="inlineStr">
        <is>
          <t>Client Démo Oscar</t>
        </is>
      </c>
      <c r="F20" s="4" t="inlineStr">
        <is>
          <t>DEMO-0015</t>
        </is>
      </c>
      <c r="G20" s="4" t="inlineStr">
        <is>
          <t>Site Démo Central</t>
        </is>
      </c>
      <c r="H20" s="4" t="inlineStr">
        <is>
          <t>Routeur-DEMO-07</t>
        </is>
      </c>
      <c r="I20" s="4" t="inlineStr">
        <is>
          <t>CPE</t>
        </is>
      </c>
      <c r="J20" s="4" t="inlineStr">
        <is>
          <t>10.99.2.34</t>
        </is>
      </c>
      <c r="K20" s="4" t="inlineStr">
        <is>
          <t>Zone Démo E</t>
        </is>
      </c>
      <c r="L20" s="4" t="inlineStr">
        <is>
          <t>Wi-Fi client</t>
        </is>
      </c>
      <c r="M20" s="4" t="inlineStr">
        <is>
          <t>Haute</t>
        </is>
      </c>
      <c r="N20" s="4">
        <f>IF(M20="","",VLOOKUP(M20,Parametres_SLA!$A$5:$B$8,2,FALSE))</f>
        <v/>
      </c>
      <c r="O20" s="5">
        <f>IF(B20="","",B20+C20+N20/24)</f>
        <v/>
      </c>
      <c r="P20" s="4" t="inlineStr">
        <is>
          <t>Support niveau 2</t>
        </is>
      </c>
      <c r="Q20" s="4" t="inlineStr">
        <is>
          <t>Escaladé</t>
        </is>
      </c>
      <c r="R20" s="8" t="n"/>
      <c r="S20" s="7">
        <f>IF(B20="","",IF(R20&lt;&gt;"",(R20-(B20+C20))*24,(NOW()-(B20+C20))*24))</f>
        <v/>
      </c>
      <c r="T20" s="4">
        <f>IF(B20="","",IF(OR(Q20="Résolu",Q20="Clôturé"),IF(R20&lt;=O20,"Oui","Non"),IF(NOW()&lt;=O20,"En cours","En retard")))</f>
        <v/>
      </c>
      <c r="U20" s="4" t="inlineStr">
        <is>
          <t>Redémarrage équipement</t>
        </is>
      </c>
      <c r="V20" s="4" t="inlineStr">
        <is>
          <t>Surveillance renforcée</t>
        </is>
      </c>
      <c r="W20" s="4" t="inlineStr">
        <is>
          <t>Oui - Direction</t>
        </is>
      </c>
      <c r="X20" s="4" t="inlineStr">
        <is>
          <t>Donnée synthétique — aucun client réel.</t>
        </is>
      </c>
    </row>
    <row r="21">
      <c r="A21" s="4" t="inlineStr">
        <is>
          <t>Inc-Demo-0016</t>
        </is>
      </c>
      <c r="B21" s="5" t="n">
        <v>46278.20833333334</v>
      </c>
      <c r="C21" s="6" t="n">
        <v>0.2083333333333333</v>
      </c>
      <c r="D21" s="4" t="inlineStr">
        <is>
          <t>Supervision UISP</t>
        </is>
      </c>
      <c r="E21" s="4" t="inlineStr">
        <is>
          <t>Client Démo Papa</t>
        </is>
      </c>
      <c r="F21" s="4" t="inlineStr">
        <is>
          <t>DEMO-0016</t>
        </is>
      </c>
      <c r="G21" s="4" t="inlineStr">
        <is>
          <t>Site Démo Nord</t>
        </is>
      </c>
      <c r="H21" s="4" t="inlineStr">
        <is>
          <t>Routeur-DEMO-08</t>
        </is>
      </c>
      <c r="I21" s="4" t="inlineStr">
        <is>
          <t>Antenne</t>
        </is>
      </c>
      <c r="J21" s="4" t="inlineStr">
        <is>
          <t>10.99.2.35</t>
        </is>
      </c>
      <c r="K21" s="4" t="inlineStr">
        <is>
          <t>Zone Démo A</t>
        </is>
      </c>
      <c r="L21" s="4" t="inlineStr">
        <is>
          <t>Équipement hors ligne</t>
        </is>
      </c>
      <c r="M21" s="4" t="inlineStr">
        <is>
          <t>Moyenne</t>
        </is>
      </c>
      <c r="N21" s="4">
        <f>IF(M21="","",VLOOKUP(M21,Parametres_SLA!$A$5:$B$8,2,FALSE))</f>
        <v/>
      </c>
      <c r="O21" s="5">
        <f>IF(B21="","",B21+C21+N21/24)</f>
        <v/>
      </c>
      <c r="P21" s="4" t="inlineStr">
        <is>
          <t>Équipe terrain</t>
        </is>
      </c>
      <c r="Q21" s="4" t="inlineStr">
        <is>
          <t>En attente client</t>
        </is>
      </c>
      <c r="R21" s="8" t="n"/>
      <c r="S21" s="7">
        <f>IF(B21="","",IF(R21&lt;&gt;"",(R21-(B21+C21))*24,(NOW()-(B21+C21))*24))</f>
        <v/>
      </c>
      <c r="T21" s="4">
        <f>IF(B21="","",IF(OR(Q21="Résolu",Q21="Clôturé"),IF(R21&lt;=O21,"Oui","Non"),IF(NOW()&lt;=O21,"En cours","En retard")))</f>
        <v/>
      </c>
      <c r="U21" s="4" t="inlineStr">
        <is>
          <t>Alimentation instable</t>
        </is>
      </c>
      <c r="V21" s="4" t="inlineStr">
        <is>
          <t>Redémarrage contrôlé</t>
        </is>
      </c>
      <c r="W21" s="4" t="inlineStr">
        <is>
          <t>Non</t>
        </is>
      </c>
      <c r="X21" s="4" t="inlineStr">
        <is>
          <t>Donnée synthétique — aucun client réel.</t>
        </is>
      </c>
    </row>
    <row r="22">
      <c r="A22" s="4" t="inlineStr">
        <is>
          <t>Inc-Demo-0017</t>
        </is>
      </c>
      <c r="B22" s="5" t="n">
        <v>46279.00486111111</v>
      </c>
      <c r="C22" s="6" t="n">
        <v>0.004861111111111111</v>
      </c>
      <c r="D22" s="4" t="inlineStr">
        <is>
          <t>Visite terrain</t>
        </is>
      </c>
      <c r="E22" s="4" t="inlineStr">
        <is>
          <t>Client Démo Quebec</t>
        </is>
      </c>
      <c r="F22" s="4" t="inlineStr">
        <is>
          <t>DEMO-0017</t>
        </is>
      </c>
      <c r="G22" s="4" t="inlineStr">
        <is>
          <t>Site Démo Sud</t>
        </is>
      </c>
      <c r="H22" s="4" t="inlineStr">
        <is>
          <t>Routeur-DEMO-01</t>
        </is>
      </c>
      <c r="I22" s="4" t="inlineStr">
        <is>
          <t>CPE</t>
        </is>
      </c>
      <c r="J22" s="4" t="inlineStr">
        <is>
          <t>10.99.2.36</t>
        </is>
      </c>
      <c r="K22" s="4" t="inlineStr">
        <is>
          <t>Zone Démo B</t>
        </is>
      </c>
      <c r="L22" s="4" t="inlineStr">
        <is>
          <t>Problème alimentation</t>
        </is>
      </c>
      <c r="M22" s="4" t="inlineStr">
        <is>
          <t>Critique</t>
        </is>
      </c>
      <c r="N22" s="4">
        <f>IF(M22="","",VLOOKUP(M22,Parametres_SLA!$A$5:$B$8,2,FALSE))</f>
        <v/>
      </c>
      <c r="O22" s="5">
        <f>IF(B22="","",B22+C22+N22/24)</f>
        <v/>
      </c>
      <c r="P22" s="4" t="inlineStr">
        <is>
          <t>Administration</t>
        </is>
      </c>
      <c r="Q22" s="4" t="inlineStr">
        <is>
          <t>Clôturé</t>
        </is>
      </c>
      <c r="R22" s="5" t="n">
        <v>46279.29652777778</v>
      </c>
      <c r="S22" s="7">
        <f>IF(B22="","",IF(R22&lt;&gt;"",(R22-(B22+C22))*24,(NOW()-(B22+C22))*24))</f>
        <v/>
      </c>
      <c r="T22" s="4">
        <f>IF(B22="","",IF(OR(Q22="Résolu",Q22="Clôturé"),IF(R22&lt;=O22,"Oui","Non"),IF(NOW()&lt;=O22,"En cours","En retard")))</f>
        <v/>
      </c>
      <c r="U22" s="4" t="inlineStr">
        <is>
          <t>Congestion simulée</t>
        </is>
      </c>
      <c r="V22" s="4" t="inlineStr">
        <is>
          <t>Réglage profil</t>
        </is>
      </c>
      <c r="W22" s="4" t="inlineStr">
        <is>
          <t>Oui - N2</t>
        </is>
      </c>
      <c r="X22" s="4" t="inlineStr">
        <is>
          <t>Donnée synthétique — aucun client réel.</t>
        </is>
      </c>
    </row>
    <row r="23">
      <c r="A23" s="4" t="inlineStr">
        <is>
          <t>Inc-Demo-0018</t>
        </is>
      </c>
      <c r="B23" s="5" t="n">
        <v>46279.80138888889</v>
      </c>
      <c r="C23" s="6" t="n">
        <v>0.8013888888888889</v>
      </c>
      <c r="D23" s="4" t="inlineStr">
        <is>
          <t>Autre</t>
        </is>
      </c>
      <c r="E23" s="4" t="inlineStr">
        <is>
          <t>Client Démo Romeo</t>
        </is>
      </c>
      <c r="F23" s="4" t="inlineStr">
        <is>
          <t>DEMO-0018</t>
        </is>
      </c>
      <c r="G23" s="4" t="inlineStr">
        <is>
          <t>Site Démo Est</t>
        </is>
      </c>
      <c r="H23" s="4" t="inlineStr">
        <is>
          <t>Routeur-DEMO-02</t>
        </is>
      </c>
      <c r="I23" s="4" t="inlineStr">
        <is>
          <t>CPE</t>
        </is>
      </c>
      <c r="J23" s="4" t="inlineStr">
        <is>
          <t>10.99.2.37</t>
        </is>
      </c>
      <c r="K23" s="4" t="inlineStr">
        <is>
          <t>Zone Démo C</t>
        </is>
      </c>
      <c r="L23" s="4" t="inlineStr">
        <is>
          <t>Configuration / accès</t>
        </is>
      </c>
      <c r="M23" s="4" t="inlineStr">
        <is>
          <t>Basse</t>
        </is>
      </c>
      <c r="N23" s="4">
        <f>IF(M23="","",VLOOKUP(M23,Parametres_SLA!$A$5:$B$8,2,FALSE))</f>
        <v/>
      </c>
      <c r="O23" s="5">
        <f>IF(B23="","",B23+C23+N23/24)</f>
        <v/>
      </c>
      <c r="P23" s="4" t="inlineStr">
        <is>
          <t>À assigner</t>
        </is>
      </c>
      <c r="Q23" s="4" t="inlineStr">
        <is>
          <t>Résolu</t>
        </is>
      </c>
      <c r="R23" s="5" t="n">
        <v>46279.96805555555</v>
      </c>
      <c r="S23" s="7">
        <f>IF(B23="","",IF(R23&lt;&gt;"",(R23-(B23+C23))*24,(NOW()-(B23+C23))*24))</f>
        <v/>
      </c>
      <c r="T23" s="4">
        <f>IF(B23="","",IF(OR(Q23="Résolu",Q23="Clôturé"),IF(R23&lt;=O23,"Oui","Non"),IF(NOW()&lt;=O23,"En cours","En retard")))</f>
        <v/>
      </c>
      <c r="U23" s="4" t="inlineStr">
        <is>
          <t>Configuration CPE</t>
        </is>
      </c>
      <c r="V23" s="4" t="inlineStr">
        <is>
          <t>Remplacement préventif</t>
        </is>
      </c>
      <c r="W23" s="4" t="inlineStr">
        <is>
          <t>Oui - Terrain</t>
        </is>
      </c>
      <c r="X23" s="4" t="inlineStr">
        <is>
          <t>Donnée synthétique — aucun client réel.</t>
        </is>
      </c>
    </row>
    <row r="24">
      <c r="A24" s="4" t="inlineStr">
        <is>
          <t>Inc-Demo-0019</t>
        </is>
      </c>
      <c r="B24" s="5" t="n">
        <v>46280.55625</v>
      </c>
      <c r="C24" s="6" t="n">
        <v>0.55625</v>
      </c>
      <c r="D24" s="4" t="inlineStr">
        <is>
          <t>Appel</t>
        </is>
      </c>
      <c r="E24" s="4" t="inlineStr">
        <is>
          <t>Client Démo Sierra</t>
        </is>
      </c>
      <c r="F24" s="4" t="inlineStr">
        <is>
          <t>DEMO-0019</t>
        </is>
      </c>
      <c r="G24" s="4" t="inlineStr">
        <is>
          <t>Site Démo Ouest</t>
        </is>
      </c>
      <c r="H24" s="4" t="inlineStr">
        <is>
          <t>Routeur-DEMO-03</t>
        </is>
      </c>
      <c r="I24" s="4" t="inlineStr">
        <is>
          <t>Antenne</t>
        </is>
      </c>
      <c r="J24" s="4" t="inlineStr">
        <is>
          <t>10.99.2.38</t>
        </is>
      </c>
      <c r="K24" s="4" t="inlineStr">
        <is>
          <t>Zone Démo D</t>
        </is>
      </c>
      <c r="L24" s="4" t="inlineStr">
        <is>
          <t>Facturation liée au service</t>
        </is>
      </c>
      <c r="M24" s="4" t="inlineStr">
        <is>
          <t>Moyenne</t>
        </is>
      </c>
      <c r="N24" s="4">
        <f>IF(M24="","",VLOOKUP(M24,Parametres_SLA!$A$5:$B$8,2,FALSE))</f>
        <v/>
      </c>
      <c r="O24" s="5">
        <f>IF(B24="","",B24+C24+N24/24)</f>
        <v/>
      </c>
      <c r="P24" s="4" t="inlineStr">
        <is>
          <t>NOC</t>
        </is>
      </c>
      <c r="Q24" s="4" t="inlineStr">
        <is>
          <t>En cours</t>
        </is>
      </c>
      <c r="R24" s="8" t="n"/>
      <c r="S24" s="7">
        <f>IF(B24="","",IF(R24&lt;&gt;"",(R24-(B24+C24))*24,(NOW()-(B24+C24))*24))</f>
        <v/>
      </c>
      <c r="T24" s="4">
        <f>IF(B24="","",IF(OR(Q24="Résolu",Q24="Clôturé"),IF(R24&lt;=O24,"Oui","Non"),IF(NOW()&lt;=O24,"En cours","En retard")))</f>
        <v/>
      </c>
      <c r="U24" s="4" t="inlineStr">
        <is>
          <t>Fibre de desserte</t>
        </is>
      </c>
      <c r="V24" s="4" t="inlineStr">
        <is>
          <t>Visite terrain planifiée</t>
        </is>
      </c>
      <c r="W24" s="4" t="inlineStr">
        <is>
          <t>Oui - Fournisseur</t>
        </is>
      </c>
      <c r="X24" s="4" t="inlineStr">
        <is>
          <t>Donnée synthétique — aucun client réel.</t>
        </is>
      </c>
    </row>
    <row r="25">
      <c r="A25" s="4" t="inlineStr">
        <is>
          <t>Inc-Demo-0020</t>
        </is>
      </c>
      <c r="B25" s="5" t="n">
        <v>46281.35277777778</v>
      </c>
      <c r="C25" s="6" t="n">
        <v>0.3527777777777778</v>
      </c>
      <c r="D25" s="4" t="inlineStr">
        <is>
          <t>WhatsApp</t>
        </is>
      </c>
      <c r="E25" s="4" t="inlineStr">
        <is>
          <t>Client Démo Tango</t>
        </is>
      </c>
      <c r="F25" s="4" t="inlineStr">
        <is>
          <t>DEMO-0020</t>
        </is>
      </c>
      <c r="G25" s="4" t="inlineStr">
        <is>
          <t>Site Démo Central</t>
        </is>
      </c>
      <c r="H25" s="4" t="inlineStr">
        <is>
          <t>Routeur-DEMO-04</t>
        </is>
      </c>
      <c r="I25" s="4" t="inlineStr">
        <is>
          <t>CPE</t>
        </is>
      </c>
      <c r="J25" s="4" t="inlineStr">
        <is>
          <t>10.99.2.39</t>
        </is>
      </c>
      <c r="K25" s="4" t="inlineStr">
        <is>
          <t>Zone Démo E</t>
        </is>
      </c>
      <c r="L25" s="4" t="inlineStr">
        <is>
          <t>Autre</t>
        </is>
      </c>
      <c r="M25" s="4" t="inlineStr">
        <is>
          <t>Haute</t>
        </is>
      </c>
      <c r="N25" s="4">
        <f>IF(M25="","",VLOOKUP(M25,Parametres_SLA!$A$5:$B$8,2,FALSE))</f>
        <v/>
      </c>
      <c r="O25" s="5">
        <f>IF(B25="","",B25+C25+N25/24)</f>
        <v/>
      </c>
      <c r="P25" s="4" t="inlineStr">
        <is>
          <t>Support niveau 1</t>
        </is>
      </c>
      <c r="Q25" s="4" t="inlineStr">
        <is>
          <t>Ouvert</t>
        </is>
      </c>
      <c r="R25" s="8" t="n"/>
      <c r="S25" s="7">
        <f>IF(B25="","",IF(R25&lt;&gt;"",(R25-(B25+C25))*24,(NOW()-(B25+C25))*24))</f>
        <v/>
      </c>
      <c r="T25" s="4">
        <f>IF(B25="","",IF(OR(Q25="Résolu",Q25="Clôturé"),IF(R25&lt;=O25,"Oui","Non"),IF(NOW()&lt;=O25,"En cours","En retard")))</f>
        <v/>
      </c>
      <c r="U25" s="4" t="inlineStr">
        <is>
          <t>Redémarrage équipement</t>
        </is>
      </c>
      <c r="V25" s="4" t="inlineStr">
        <is>
          <t>Surveillance renforcée</t>
        </is>
      </c>
      <c r="W25" s="4" t="inlineStr">
        <is>
          <t>Oui - Direction</t>
        </is>
      </c>
      <c r="X25" s="4" t="inlineStr">
        <is>
          <t>Donnée synthétique — aucun client réel.</t>
        </is>
      </c>
    </row>
    <row r="26">
      <c r="A26" s="4" t="inlineStr">
        <is>
          <t>Inc-Demo-0021</t>
        </is>
      </c>
      <c r="B26" s="5" t="n">
        <v>46282.14930555555</v>
      </c>
      <c r="C26" s="6" t="n">
        <v>0.1493055555555556</v>
      </c>
      <c r="D26" s="4" t="inlineStr">
        <is>
          <t>Email</t>
        </is>
      </c>
      <c r="E26" s="4" t="inlineStr">
        <is>
          <t>Client Démo Uniform</t>
        </is>
      </c>
      <c r="F26" s="4" t="inlineStr">
        <is>
          <t>DEMO-0021</t>
        </is>
      </c>
      <c r="G26" s="4" t="inlineStr">
        <is>
          <t>Site Démo Nord</t>
        </is>
      </c>
      <c r="H26" s="4" t="inlineStr">
        <is>
          <t>Routeur-DEMO-05</t>
        </is>
      </c>
      <c r="I26" s="4" t="inlineStr">
        <is>
          <t>CPE</t>
        </is>
      </c>
      <c r="J26" s="4" t="inlineStr">
        <is>
          <t>10.99.3.40</t>
        </is>
      </c>
      <c r="K26" s="4" t="inlineStr">
        <is>
          <t>Zone Démo A</t>
        </is>
      </c>
      <c r="L26" s="4" t="inlineStr">
        <is>
          <t>Internet indisponible</t>
        </is>
      </c>
      <c r="M26" s="4" t="inlineStr">
        <is>
          <t>Critique</t>
        </is>
      </c>
      <c r="N26" s="4">
        <f>IF(M26="","",VLOOKUP(M26,Parametres_SLA!$A$5:$B$8,2,FALSE))</f>
        <v/>
      </c>
      <c r="O26" s="5">
        <f>IF(B26="","",B26+C26+N26/24)</f>
        <v/>
      </c>
      <c r="P26" s="4" t="inlineStr">
        <is>
          <t>Support niveau 2</t>
        </is>
      </c>
      <c r="Q26" s="4" t="inlineStr">
        <is>
          <t>Clôturé</t>
        </is>
      </c>
      <c r="R26" s="5" t="n">
        <v>46282.44097222222</v>
      </c>
      <c r="S26" s="7">
        <f>IF(B26="","",IF(R26&lt;&gt;"",(R26-(B26+C26))*24,(NOW()-(B26+C26))*24))</f>
        <v/>
      </c>
      <c r="T26" s="4">
        <f>IF(B26="","",IF(OR(Q26="Résolu",Q26="Clôturé"),IF(R26&lt;=O26,"Oui","Non"),IF(NOW()&lt;=O26,"En cours","En retard")))</f>
        <v/>
      </c>
      <c r="U26" s="4" t="inlineStr">
        <is>
          <t>Alimentation instable</t>
        </is>
      </c>
      <c r="V26" s="4" t="inlineStr">
        <is>
          <t>Redémarrage contrôlé</t>
        </is>
      </c>
      <c r="W26" s="4" t="inlineStr">
        <is>
          <t>Non</t>
        </is>
      </c>
      <c r="X26" s="4" t="inlineStr">
        <is>
          <t>Donnée synthétique — aucun client réel.</t>
        </is>
      </c>
    </row>
    <row r="27">
      <c r="A27" s="4" t="inlineStr">
        <is>
          <t>Inc-Demo-0022</t>
        </is>
      </c>
      <c r="B27" s="5" t="n">
        <v>46282.94583333333</v>
      </c>
      <c r="C27" s="6" t="n">
        <v>0.9458333333333333</v>
      </c>
      <c r="D27" s="4" t="inlineStr">
        <is>
          <t>Supervision UISP</t>
        </is>
      </c>
      <c r="E27" s="4" t="inlineStr">
        <is>
          <t>Client Démo Victor</t>
        </is>
      </c>
      <c r="F27" s="4" t="inlineStr">
        <is>
          <t>DEMO-0022</t>
        </is>
      </c>
      <c r="G27" s="4" t="inlineStr">
        <is>
          <t>Site Démo Sud</t>
        </is>
      </c>
      <c r="H27" s="4" t="inlineStr">
        <is>
          <t>Routeur-DEMO-06</t>
        </is>
      </c>
      <c r="I27" s="4" t="inlineStr">
        <is>
          <t>Antenne</t>
        </is>
      </c>
      <c r="J27" s="4" t="inlineStr">
        <is>
          <t>10.99.3.41</t>
        </is>
      </c>
      <c r="K27" s="4" t="inlineStr">
        <is>
          <t>Zone Démo B</t>
        </is>
      </c>
      <c r="L27" s="4" t="inlineStr">
        <is>
          <t>Débit lent / instable</t>
        </is>
      </c>
      <c r="M27" s="4" t="inlineStr">
        <is>
          <t>Haute</t>
        </is>
      </c>
      <c r="N27" s="4">
        <f>IF(M27="","",VLOOKUP(M27,Parametres_SLA!$A$5:$B$8,2,FALSE))</f>
        <v/>
      </c>
      <c r="O27" s="5">
        <f>IF(B27="","",B27+C27+N27/24)</f>
        <v/>
      </c>
      <c r="P27" s="4" t="inlineStr">
        <is>
          <t>Équipe terrain</t>
        </is>
      </c>
      <c r="Q27" s="4" t="inlineStr">
        <is>
          <t>Résolu</t>
        </is>
      </c>
      <c r="R27" s="5" t="n">
        <v>46283.07083333333</v>
      </c>
      <c r="S27" s="7">
        <f>IF(B27="","",IF(R27&lt;&gt;"",(R27-(B27+C27))*24,(NOW()-(B27+C27))*24))</f>
        <v/>
      </c>
      <c r="T27" s="4">
        <f>IF(B27="","",IF(OR(Q27="Résolu",Q27="Clôturé"),IF(R27&lt;=O27,"Oui","Non"),IF(NOW()&lt;=O27,"En cours","En retard")))</f>
        <v/>
      </c>
      <c r="U27" s="4" t="inlineStr">
        <is>
          <t>Congestion simulée</t>
        </is>
      </c>
      <c r="V27" s="4" t="inlineStr">
        <is>
          <t>Réglage profil</t>
        </is>
      </c>
      <c r="W27" s="4" t="inlineStr">
        <is>
          <t>Oui - N2</t>
        </is>
      </c>
      <c r="X27" s="4" t="inlineStr">
        <is>
          <t>Donnée synthétique — aucun client réel.</t>
        </is>
      </c>
    </row>
    <row r="28">
      <c r="A28" s="4" t="inlineStr">
        <is>
          <t>Inc-Demo-0023</t>
        </is>
      </c>
      <c r="B28" s="5" t="n">
        <v>46283.74236111111</v>
      </c>
      <c r="C28" s="6" t="n">
        <v>0.7423611111111111</v>
      </c>
      <c r="D28" s="4" t="inlineStr">
        <is>
          <t>Visite terrain</t>
        </is>
      </c>
      <c r="E28" s="4" t="inlineStr">
        <is>
          <t>Client Démo Whiskey</t>
        </is>
      </c>
      <c r="F28" s="4" t="inlineStr">
        <is>
          <t>DEMO-0023</t>
        </is>
      </c>
      <c r="G28" s="4" t="inlineStr">
        <is>
          <t>Site Démo Est</t>
        </is>
      </c>
      <c r="H28" s="4" t="inlineStr">
        <is>
          <t>Routeur-DEMO-07</t>
        </is>
      </c>
      <c r="I28" s="4" t="inlineStr">
        <is>
          <t>CPE</t>
        </is>
      </c>
      <c r="J28" s="4" t="inlineStr">
        <is>
          <t>10.99.3.42</t>
        </is>
      </c>
      <c r="K28" s="4" t="inlineStr">
        <is>
          <t>Zone Démo C</t>
        </is>
      </c>
      <c r="L28" s="4" t="inlineStr">
        <is>
          <t>Latence élevée</t>
        </is>
      </c>
      <c r="M28" s="4" t="inlineStr">
        <is>
          <t>Moyenne</t>
        </is>
      </c>
      <c r="N28" s="4">
        <f>IF(M28="","",VLOOKUP(M28,Parametres_SLA!$A$5:$B$8,2,FALSE))</f>
        <v/>
      </c>
      <c r="O28" s="5">
        <f>IF(B28="","",B28+C28+N28/24)</f>
        <v/>
      </c>
      <c r="P28" s="4" t="inlineStr">
        <is>
          <t>Administration</t>
        </is>
      </c>
      <c r="Q28" s="4" t="inlineStr">
        <is>
          <t>Ouvert</t>
        </is>
      </c>
      <c r="R28" s="8" t="n"/>
      <c r="S28" s="7">
        <f>IF(B28="","",IF(R28&lt;&gt;"",(R28-(B28+C28))*24,(NOW()-(B28+C28))*24))</f>
        <v/>
      </c>
      <c r="T28" s="4">
        <f>IF(B28="","",IF(OR(Q28="Résolu",Q28="Clôturé"),IF(R28&lt;=O28,"Oui","Non"),IF(NOW()&lt;=O28,"En cours","En retard")))</f>
        <v/>
      </c>
      <c r="U28" s="4" t="inlineStr">
        <is>
          <t>Configuration CPE</t>
        </is>
      </c>
      <c r="V28" s="4" t="inlineStr">
        <is>
          <t>Remplacement préventif</t>
        </is>
      </c>
      <c r="W28" s="4" t="inlineStr">
        <is>
          <t>Oui - Terrain</t>
        </is>
      </c>
      <c r="X28" s="4" t="inlineStr">
        <is>
          <t>Donnée synthétique — aucun client réel.</t>
        </is>
      </c>
    </row>
    <row r="29">
      <c r="A29" s="4" t="inlineStr">
        <is>
          <t>Inc-Demo-0024</t>
        </is>
      </c>
      <c r="B29" s="5" t="n">
        <v>46284.53888888889</v>
      </c>
      <c r="C29" s="6" t="n">
        <v>0.5388888888888889</v>
      </c>
      <c r="D29" s="4" t="inlineStr">
        <is>
          <t>Autre</t>
        </is>
      </c>
      <c r="E29" s="4" t="inlineStr">
        <is>
          <t>Client Démo Xray</t>
        </is>
      </c>
      <c r="F29" s="4" t="inlineStr">
        <is>
          <t>DEMO-0024</t>
        </is>
      </c>
      <c r="G29" s="4" t="inlineStr">
        <is>
          <t>Site Démo Ouest</t>
        </is>
      </c>
      <c r="H29" s="4" t="inlineStr">
        <is>
          <t>Routeur-DEMO-08</t>
        </is>
      </c>
      <c r="I29" s="4" t="inlineStr">
        <is>
          <t>CPE</t>
        </is>
      </c>
      <c r="J29" s="4" t="inlineStr">
        <is>
          <t>10.99.3.43</t>
        </is>
      </c>
      <c r="K29" s="4" t="inlineStr">
        <is>
          <t>Zone Démo D</t>
        </is>
      </c>
      <c r="L29" s="4" t="inlineStr">
        <is>
          <t>Coupure intermittente</t>
        </is>
      </c>
      <c r="M29" s="4" t="inlineStr">
        <is>
          <t>Basse</t>
        </is>
      </c>
      <c r="N29" s="4">
        <f>IF(M29="","",VLOOKUP(M29,Parametres_SLA!$A$5:$B$8,2,FALSE))</f>
        <v/>
      </c>
      <c r="O29" s="5">
        <f>IF(B29="","",B29+C29+N29/24)</f>
        <v/>
      </c>
      <c r="P29" s="4" t="inlineStr">
        <is>
          <t>À assigner</t>
        </is>
      </c>
      <c r="Q29" s="4" t="inlineStr">
        <is>
          <t>En cours</t>
        </is>
      </c>
      <c r="R29" s="8" t="n"/>
      <c r="S29" s="7">
        <f>IF(B29="","",IF(R29&lt;&gt;"",(R29-(B29+C29))*24,(NOW()-(B29+C29))*24))</f>
        <v/>
      </c>
      <c r="T29" s="4">
        <f>IF(B29="","",IF(OR(Q29="Résolu",Q29="Clôturé"),IF(R29&lt;=O29,"Oui","Non"),IF(NOW()&lt;=O29,"En cours","En retard")))</f>
        <v/>
      </c>
      <c r="U29" s="4" t="inlineStr">
        <is>
          <t>Fibre de desserte</t>
        </is>
      </c>
      <c r="V29" s="4" t="inlineStr">
        <is>
          <t>Visite terrain planifiée</t>
        </is>
      </c>
      <c r="W29" s="4" t="inlineStr">
        <is>
          <t>Oui - Fournisseur</t>
        </is>
      </c>
      <c r="X29" s="4" t="inlineStr">
        <is>
          <t>Donnée synthétique — aucun client réel.</t>
        </is>
      </c>
    </row>
    <row r="30">
      <c r="A30" s="4" t="inlineStr">
        <is>
          <t>Inc-Demo-0025</t>
        </is>
      </c>
      <c r="B30" s="5" t="n">
        <v>46285.33541666667</v>
      </c>
      <c r="C30" s="6" t="n">
        <v>0.3354166666666666</v>
      </c>
      <c r="D30" s="4" t="inlineStr">
        <is>
          <t>Appel</t>
        </is>
      </c>
      <c r="E30" s="4" t="inlineStr">
        <is>
          <t>Client Démo Yankee</t>
        </is>
      </c>
      <c r="F30" s="4" t="inlineStr">
        <is>
          <t>DEMO-0025</t>
        </is>
      </c>
      <c r="G30" s="4" t="inlineStr">
        <is>
          <t>Site Démo Central</t>
        </is>
      </c>
      <c r="H30" s="4" t="inlineStr">
        <is>
          <t>Routeur-DEMO-01</t>
        </is>
      </c>
      <c r="I30" s="4" t="inlineStr">
        <is>
          <t>Antenne</t>
        </is>
      </c>
      <c r="J30" s="4" t="inlineStr">
        <is>
          <t>10.99.3.44</t>
        </is>
      </c>
      <c r="K30" s="4" t="inlineStr">
        <is>
          <t>Zone Démo E</t>
        </is>
      </c>
      <c r="L30" s="4" t="inlineStr">
        <is>
          <t>Wi-Fi client</t>
        </is>
      </c>
      <c r="M30" s="4" t="inlineStr">
        <is>
          <t>Haute</t>
        </is>
      </c>
      <c r="N30" s="4">
        <f>IF(M30="","",VLOOKUP(M30,Parametres_SLA!$A$5:$B$8,2,FALSE))</f>
        <v/>
      </c>
      <c r="O30" s="5">
        <f>IF(B30="","",B30+C30+N30/24)</f>
        <v/>
      </c>
      <c r="P30" s="4" t="inlineStr">
        <is>
          <t>NOC</t>
        </is>
      </c>
      <c r="Q30" s="4" t="inlineStr">
        <is>
          <t>Escaladé</t>
        </is>
      </c>
      <c r="R30" s="8" t="n"/>
      <c r="S30" s="7">
        <f>IF(B30="","",IF(R30&lt;&gt;"",(R30-(B30+C30))*24,(NOW()-(B30+C30))*24))</f>
        <v/>
      </c>
      <c r="T30" s="4">
        <f>IF(B30="","",IF(OR(Q30="Résolu",Q30="Clôturé"),IF(R30&lt;=O30,"Oui","Non"),IF(NOW()&lt;=O30,"En cours","En retard")))</f>
        <v/>
      </c>
      <c r="U30" s="4" t="inlineStr">
        <is>
          <t>Redémarrage équipement</t>
        </is>
      </c>
      <c r="V30" s="4" t="inlineStr">
        <is>
          <t>Surveillance renforcée</t>
        </is>
      </c>
      <c r="W30" s="4" t="inlineStr">
        <is>
          <t>Oui - Direction</t>
        </is>
      </c>
      <c r="X30" s="4" t="inlineStr">
        <is>
          <t>Donnée synthétique — aucun client réel.</t>
        </is>
      </c>
    </row>
    <row r="31">
      <c r="A31" s="4" t="inlineStr">
        <is>
          <t>Inc-Demo-0026</t>
        </is>
      </c>
      <c r="B31" s="5" t="n">
        <v>46286.13194444445</v>
      </c>
      <c r="C31" s="6" t="n">
        <v>0.1319444444444444</v>
      </c>
      <c r="D31" s="4" t="inlineStr">
        <is>
          <t>WhatsApp</t>
        </is>
      </c>
      <c r="E31" s="4" t="inlineStr">
        <is>
          <t>Client Démo Zulu</t>
        </is>
      </c>
      <c r="F31" s="4" t="inlineStr">
        <is>
          <t>DEMO-0026</t>
        </is>
      </c>
      <c r="G31" s="4" t="inlineStr">
        <is>
          <t>Site Démo Nord</t>
        </is>
      </c>
      <c r="H31" s="4" t="inlineStr">
        <is>
          <t>Routeur-DEMO-02</t>
        </is>
      </c>
      <c r="I31" s="4" t="inlineStr">
        <is>
          <t>CPE</t>
        </is>
      </c>
      <c r="J31" s="4" t="inlineStr">
        <is>
          <t>10.99.3.45</t>
        </is>
      </c>
      <c r="K31" s="4" t="inlineStr">
        <is>
          <t>Zone Démo A</t>
        </is>
      </c>
      <c r="L31" s="4" t="inlineStr">
        <is>
          <t>Équipement hors ligne</t>
        </is>
      </c>
      <c r="M31" s="4" t="inlineStr">
        <is>
          <t>Moyenne</t>
        </is>
      </c>
      <c r="N31" s="4">
        <f>IF(M31="","",VLOOKUP(M31,Parametres_SLA!$A$5:$B$8,2,FALSE))</f>
        <v/>
      </c>
      <c r="O31" s="5">
        <f>IF(B31="","",B31+C31+N31/24)</f>
        <v/>
      </c>
      <c r="P31" s="4" t="inlineStr">
        <is>
          <t>Support niveau 1</t>
        </is>
      </c>
      <c r="Q31" s="4" t="inlineStr">
        <is>
          <t>En attente client</t>
        </is>
      </c>
      <c r="R31" s="8" t="n"/>
      <c r="S31" s="7">
        <f>IF(B31="","",IF(R31&lt;&gt;"",(R31-(B31+C31))*24,(NOW()-(B31+C31))*24))</f>
        <v/>
      </c>
      <c r="T31" s="4">
        <f>IF(B31="","",IF(OR(Q31="Résolu",Q31="Clôturé"),IF(R31&lt;=O31,"Oui","Non"),IF(NOW()&lt;=O31,"En cours","En retard")))</f>
        <v/>
      </c>
      <c r="U31" s="4" t="inlineStr">
        <is>
          <t>Alimentation instable</t>
        </is>
      </c>
      <c r="V31" s="4" t="inlineStr">
        <is>
          <t>Redémarrage contrôlé</t>
        </is>
      </c>
      <c r="W31" s="4" t="inlineStr">
        <is>
          <t>Non</t>
        </is>
      </c>
      <c r="X31" s="4" t="inlineStr">
        <is>
          <t>Donnée synthétique — aucun client réel.</t>
        </is>
      </c>
    </row>
    <row r="32">
      <c r="A32" s="4" t="inlineStr">
        <is>
          <t>Inc-Demo-0027</t>
        </is>
      </c>
      <c r="B32" s="5" t="n">
        <v>46286.88680555556</v>
      </c>
      <c r="C32" s="6" t="n">
        <v>0.8868055555555555</v>
      </c>
      <c r="D32" s="4" t="inlineStr">
        <is>
          <t>Email</t>
        </is>
      </c>
      <c r="E32" s="4" t="inlineStr">
        <is>
          <t>Client Démo Atlas</t>
        </is>
      </c>
      <c r="F32" s="4" t="inlineStr">
        <is>
          <t>DEMO-0027</t>
        </is>
      </c>
      <c r="G32" s="4" t="inlineStr">
        <is>
          <t>Site Démo Sud</t>
        </is>
      </c>
      <c r="H32" s="4" t="inlineStr">
        <is>
          <t>Routeur-DEMO-03</t>
        </is>
      </c>
      <c r="I32" s="4" t="inlineStr">
        <is>
          <t>CPE</t>
        </is>
      </c>
      <c r="J32" s="4" t="inlineStr">
        <is>
          <t>10.99.3.46</t>
        </is>
      </c>
      <c r="K32" s="4" t="inlineStr">
        <is>
          <t>Zone Démo B</t>
        </is>
      </c>
      <c r="L32" s="4" t="inlineStr">
        <is>
          <t>Problème alimentation</t>
        </is>
      </c>
      <c r="M32" s="4" t="inlineStr">
        <is>
          <t>Critique</t>
        </is>
      </c>
      <c r="N32" s="4">
        <f>IF(M32="","",VLOOKUP(M32,Parametres_SLA!$A$5:$B$8,2,FALSE))</f>
        <v/>
      </c>
      <c r="O32" s="5">
        <f>IF(B32="","",B32+C32+N32/24)</f>
        <v/>
      </c>
      <c r="P32" s="4" t="inlineStr">
        <is>
          <t>Support niveau 2</t>
        </is>
      </c>
      <c r="Q32" s="4" t="inlineStr">
        <is>
          <t>Clôturé</t>
        </is>
      </c>
      <c r="R32" s="5" t="n">
        <v>46287.01180555556</v>
      </c>
      <c r="S32" s="7">
        <f>IF(B32="","",IF(R32&lt;&gt;"",(R32-(B32+C32))*24,(NOW()-(B32+C32))*24))</f>
        <v/>
      </c>
      <c r="T32" s="4">
        <f>IF(B32="","",IF(OR(Q32="Résolu",Q32="Clôturé"),IF(R32&lt;=O32,"Oui","Non"),IF(NOW()&lt;=O32,"En cours","En retard")))</f>
        <v/>
      </c>
      <c r="U32" s="4" t="inlineStr">
        <is>
          <t>Congestion simulée</t>
        </is>
      </c>
      <c r="V32" s="4" t="inlineStr">
        <is>
          <t>Réglage profil</t>
        </is>
      </c>
      <c r="W32" s="4" t="inlineStr">
        <is>
          <t>Oui - N2</t>
        </is>
      </c>
      <c r="X32" s="4" t="inlineStr">
        <is>
          <t>Donnée synthétique — aucun client réel.</t>
        </is>
      </c>
    </row>
    <row r="33">
      <c r="A33" s="4" t="inlineStr">
        <is>
          <t>Inc-Demo-0028</t>
        </is>
      </c>
      <c r="B33" s="5" t="n">
        <v>46287.68333333333</v>
      </c>
      <c r="C33" s="6" t="n">
        <v>0.6833333333333333</v>
      </c>
      <c r="D33" s="4" t="inlineStr">
        <is>
          <t>Supervision UISP</t>
        </is>
      </c>
      <c r="E33" s="4" t="inlineStr">
        <is>
          <t>Client Démo Nova</t>
        </is>
      </c>
      <c r="F33" s="4" t="inlineStr">
        <is>
          <t>DEMO-0028</t>
        </is>
      </c>
      <c r="G33" s="4" t="inlineStr">
        <is>
          <t>Site Démo Est</t>
        </is>
      </c>
      <c r="H33" s="4" t="inlineStr">
        <is>
          <t>Routeur-DEMO-04</t>
        </is>
      </c>
      <c r="I33" s="4" t="inlineStr">
        <is>
          <t>Antenne</t>
        </is>
      </c>
      <c r="J33" s="4" t="inlineStr">
        <is>
          <t>10.99.3.47</t>
        </is>
      </c>
      <c r="K33" s="4" t="inlineStr">
        <is>
          <t>Zone Démo C</t>
        </is>
      </c>
      <c r="L33" s="4" t="inlineStr">
        <is>
          <t>Configuration / accès</t>
        </is>
      </c>
      <c r="M33" s="4" t="inlineStr">
        <is>
          <t>Basse</t>
        </is>
      </c>
      <c r="N33" s="4">
        <f>IF(M33="","",VLOOKUP(M33,Parametres_SLA!$A$5:$B$8,2,FALSE))</f>
        <v/>
      </c>
      <c r="O33" s="5">
        <f>IF(B33="","",B33+C33+N33/24)</f>
        <v/>
      </c>
      <c r="P33" s="4" t="inlineStr">
        <is>
          <t>Équipe terrain</t>
        </is>
      </c>
      <c r="Q33" s="4" t="inlineStr">
        <is>
          <t>Résolu</t>
        </is>
      </c>
      <c r="R33" s="5" t="n">
        <v>46287.85</v>
      </c>
      <c r="S33" s="7">
        <f>IF(B33="","",IF(R33&lt;&gt;"",(R33-(B33+C33))*24,(NOW()-(B33+C33))*24))</f>
        <v/>
      </c>
      <c r="T33" s="4">
        <f>IF(B33="","",IF(OR(Q33="Résolu",Q33="Clôturé"),IF(R33&lt;=O33,"Oui","Non"),IF(NOW()&lt;=O33,"En cours","En retard")))</f>
        <v/>
      </c>
      <c r="U33" s="4" t="inlineStr">
        <is>
          <t>Configuration CPE</t>
        </is>
      </c>
      <c r="V33" s="4" t="inlineStr">
        <is>
          <t>Remplacement préventif</t>
        </is>
      </c>
      <c r="W33" s="4" t="inlineStr">
        <is>
          <t>Oui - Terrain</t>
        </is>
      </c>
      <c r="X33" s="4" t="inlineStr">
        <is>
          <t>Donnée synthétique — aucun client réel.</t>
        </is>
      </c>
    </row>
    <row r="34">
      <c r="A34" s="4" t="inlineStr">
        <is>
          <t>Inc-Demo-0029</t>
        </is>
      </c>
      <c r="B34" s="5" t="n">
        <v>46288.47986111111</v>
      </c>
      <c r="C34" s="6" t="n">
        <v>0.4798611111111111</v>
      </c>
      <c r="D34" s="4" t="inlineStr">
        <is>
          <t>Visite terrain</t>
        </is>
      </c>
      <c r="E34" s="4" t="inlineStr">
        <is>
          <t>Client Démo Orion</t>
        </is>
      </c>
      <c r="F34" s="4" t="inlineStr">
        <is>
          <t>DEMO-0029</t>
        </is>
      </c>
      <c r="G34" s="4" t="inlineStr">
        <is>
          <t>Site Démo Ouest</t>
        </is>
      </c>
      <c r="H34" s="4" t="inlineStr">
        <is>
          <t>Routeur-DEMO-05</t>
        </is>
      </c>
      <c r="I34" s="4" t="inlineStr">
        <is>
          <t>CPE</t>
        </is>
      </c>
      <c r="J34" s="4" t="inlineStr">
        <is>
          <t>10.99.3.48</t>
        </is>
      </c>
      <c r="K34" s="4" t="inlineStr">
        <is>
          <t>Zone Démo D</t>
        </is>
      </c>
      <c r="L34" s="4" t="inlineStr">
        <is>
          <t>Facturation liée au service</t>
        </is>
      </c>
      <c r="M34" s="4" t="inlineStr">
        <is>
          <t>Moyenne</t>
        </is>
      </c>
      <c r="N34" s="4">
        <f>IF(M34="","",VLOOKUP(M34,Parametres_SLA!$A$5:$B$8,2,FALSE))</f>
        <v/>
      </c>
      <c r="O34" s="5">
        <f>IF(B34="","",B34+C34+N34/24)</f>
        <v/>
      </c>
      <c r="P34" s="4" t="inlineStr">
        <is>
          <t>Administration</t>
        </is>
      </c>
      <c r="Q34" s="4" t="inlineStr">
        <is>
          <t>En cours</t>
        </is>
      </c>
      <c r="R34" s="8" t="n"/>
      <c r="S34" s="7">
        <f>IF(B34="","",IF(R34&lt;&gt;"",(R34-(B34+C34))*24,(NOW()-(B34+C34))*24))</f>
        <v/>
      </c>
      <c r="T34" s="4">
        <f>IF(B34="","",IF(OR(Q34="Résolu",Q34="Clôturé"),IF(R34&lt;=O34,"Oui","Non"),IF(NOW()&lt;=O34,"En cours","En retard")))</f>
        <v/>
      </c>
      <c r="U34" s="4" t="inlineStr">
        <is>
          <t>Fibre de desserte</t>
        </is>
      </c>
      <c r="V34" s="4" t="inlineStr">
        <is>
          <t>Visite terrain planifiée</t>
        </is>
      </c>
      <c r="W34" s="4" t="inlineStr">
        <is>
          <t>Oui - Fournisseur</t>
        </is>
      </c>
      <c r="X34" s="4" t="inlineStr">
        <is>
          <t>Donnée synthétique — aucun client réel.</t>
        </is>
      </c>
    </row>
    <row r="35">
      <c r="A35" s="4" t="inlineStr">
        <is>
          <t>Inc-Demo-0030</t>
        </is>
      </c>
      <c r="B35" s="5" t="n">
        <v>46289.27638888889</v>
      </c>
      <c r="C35" s="6" t="n">
        <v>0.2763888888888889</v>
      </c>
      <c r="D35" s="4" t="inlineStr">
        <is>
          <t>Autre</t>
        </is>
      </c>
      <c r="E35" s="4" t="inlineStr">
        <is>
          <t>Client Démo Vega</t>
        </is>
      </c>
      <c r="F35" s="4" t="inlineStr">
        <is>
          <t>DEMO-0030</t>
        </is>
      </c>
      <c r="G35" s="4" t="inlineStr">
        <is>
          <t>Site Démo Central</t>
        </is>
      </c>
      <c r="H35" s="4" t="inlineStr">
        <is>
          <t>Routeur-DEMO-06</t>
        </is>
      </c>
      <c r="I35" s="4" t="inlineStr">
        <is>
          <t>CPE</t>
        </is>
      </c>
      <c r="J35" s="4" t="inlineStr">
        <is>
          <t>10.99.3.49</t>
        </is>
      </c>
      <c r="K35" s="4" t="inlineStr">
        <is>
          <t>Zone Démo E</t>
        </is>
      </c>
      <c r="L35" s="4" t="inlineStr">
        <is>
          <t>Autre</t>
        </is>
      </c>
      <c r="M35" s="4" t="inlineStr">
        <is>
          <t>Haute</t>
        </is>
      </c>
      <c r="N35" s="4">
        <f>IF(M35="","",VLOOKUP(M35,Parametres_SLA!$A$5:$B$8,2,FALSE))</f>
        <v/>
      </c>
      <c r="O35" s="5">
        <f>IF(B35="","",B35+C35+N35/24)</f>
        <v/>
      </c>
      <c r="P35" s="4" t="inlineStr">
        <is>
          <t>À assigner</t>
        </is>
      </c>
      <c r="Q35" s="4" t="inlineStr">
        <is>
          <t>Ouvert</t>
        </is>
      </c>
      <c r="R35" s="8" t="n"/>
      <c r="S35" s="7">
        <f>IF(B35="","",IF(R35&lt;&gt;"",(R35-(B35+C35))*24,(NOW()-(B35+C35))*24))</f>
        <v/>
      </c>
      <c r="T35" s="4">
        <f>IF(B35="","",IF(OR(Q35="Résolu",Q35="Clôturé"),IF(R35&lt;=O35,"Oui","Non"),IF(NOW()&lt;=O35,"En cours","En retard")))</f>
        <v/>
      </c>
      <c r="U35" s="4" t="inlineStr">
        <is>
          <t>Redémarrage équipement</t>
        </is>
      </c>
      <c r="V35" s="4" t="inlineStr">
        <is>
          <t>Surveillance renforcée</t>
        </is>
      </c>
      <c r="W35" s="4" t="inlineStr">
        <is>
          <t>Oui - Direction</t>
        </is>
      </c>
      <c r="X35" s="4" t="inlineStr">
        <is>
          <t>Donnée synthétique — aucun client réel.</t>
        </is>
      </c>
    </row>
    <row r="36">
      <c r="A36" s="4">
        <f>IF(B36="","","Inc-Demo-"&amp;TEXT(ROW()-5,"0000"))</f>
        <v/>
      </c>
      <c r="B36" s="8" t="n"/>
      <c r="C36" s="9" t="n"/>
      <c r="N36" s="4">
        <f>IF(M36="","",VLOOKUP(M36,Parametres_SLA!$A$5:$B$8,2,FALSE))</f>
        <v/>
      </c>
      <c r="O36" s="5">
        <f>IF(B36="","",B36+C36+N36/24)</f>
        <v/>
      </c>
      <c r="R36" s="8" t="n"/>
      <c r="S36" s="7">
        <f>IF(B36="","",IF(R36&lt;&gt;"",(R36-(B36+C36))*24,(NOW()-(B36+C36))*24))</f>
        <v/>
      </c>
      <c r="T36" s="4">
        <f>IF(B36="","",IF(OR(Q36="Résolu",Q36="Clôturé"),IF(R36&lt;=O36,"Oui","Non"),IF(NOW()&lt;=O36,"En cours","En retard")))</f>
        <v/>
      </c>
    </row>
    <row r="37">
      <c r="A37" s="4">
        <f>IF(B37="","","Inc-Demo-"&amp;TEXT(ROW()-5,"0000"))</f>
        <v/>
      </c>
      <c r="B37" s="8" t="n"/>
      <c r="C37" s="9" t="n"/>
      <c r="N37" s="4">
        <f>IF(M37="","",VLOOKUP(M37,Parametres_SLA!$A$5:$B$8,2,FALSE))</f>
        <v/>
      </c>
      <c r="O37" s="5">
        <f>IF(B37="","",B37+C37+N37/24)</f>
        <v/>
      </c>
      <c r="R37" s="8" t="n"/>
      <c r="S37" s="7">
        <f>IF(B37="","",IF(R37&lt;&gt;"",(R37-(B37+C37))*24,(NOW()-(B37+C37))*24))</f>
        <v/>
      </c>
      <c r="T37" s="4">
        <f>IF(B37="","",IF(OR(Q37="Résolu",Q37="Clôturé"),IF(R37&lt;=O37,"Oui","Non"),IF(NOW()&lt;=O37,"En cours","En retard")))</f>
        <v/>
      </c>
    </row>
    <row r="38">
      <c r="A38" s="4">
        <f>IF(B38="","","Inc-Demo-"&amp;TEXT(ROW()-5,"0000"))</f>
        <v/>
      </c>
      <c r="B38" s="8" t="n"/>
      <c r="C38" s="9" t="n"/>
      <c r="N38" s="4">
        <f>IF(M38="","",VLOOKUP(M38,Parametres_SLA!$A$5:$B$8,2,FALSE))</f>
        <v/>
      </c>
      <c r="O38" s="5">
        <f>IF(B38="","",B38+C38+N38/24)</f>
        <v/>
      </c>
      <c r="R38" s="8" t="n"/>
      <c r="S38" s="7">
        <f>IF(B38="","",IF(R38&lt;&gt;"",(R38-(B38+C38))*24,(NOW()-(B38+C38))*24))</f>
        <v/>
      </c>
      <c r="T38" s="4">
        <f>IF(B38="","",IF(OR(Q38="Résolu",Q38="Clôturé"),IF(R38&lt;=O38,"Oui","Non"),IF(NOW()&lt;=O38,"En cours","En retard")))</f>
        <v/>
      </c>
    </row>
    <row r="39">
      <c r="A39" s="4">
        <f>IF(B39="","","Inc-Demo-"&amp;TEXT(ROW()-5,"0000"))</f>
        <v/>
      </c>
      <c r="B39" s="8" t="n"/>
      <c r="C39" s="9" t="n"/>
      <c r="N39" s="4">
        <f>IF(M39="","",VLOOKUP(M39,Parametres_SLA!$A$5:$B$8,2,FALSE))</f>
        <v/>
      </c>
      <c r="O39" s="5">
        <f>IF(B39="","",B39+C39+N39/24)</f>
        <v/>
      </c>
      <c r="R39" s="8" t="n"/>
      <c r="S39" s="7">
        <f>IF(B39="","",IF(R39&lt;&gt;"",(R39-(B39+C39))*24,(NOW()-(B39+C39))*24))</f>
        <v/>
      </c>
      <c r="T39" s="4">
        <f>IF(B39="","",IF(OR(Q39="Résolu",Q39="Clôturé"),IF(R39&lt;=O39,"Oui","Non"),IF(NOW()&lt;=O39,"En cours","En retard")))</f>
        <v/>
      </c>
    </row>
    <row r="40">
      <c r="A40" s="4">
        <f>IF(B40="","","Inc-Demo-"&amp;TEXT(ROW()-5,"0000"))</f>
        <v/>
      </c>
      <c r="B40" s="8" t="n"/>
      <c r="C40" s="9" t="n"/>
      <c r="N40" s="4">
        <f>IF(M40="","",VLOOKUP(M40,Parametres_SLA!$A$5:$B$8,2,FALSE))</f>
        <v/>
      </c>
      <c r="O40" s="5">
        <f>IF(B40="","",B40+C40+N40/24)</f>
        <v/>
      </c>
      <c r="R40" s="8" t="n"/>
      <c r="S40" s="7">
        <f>IF(B40="","",IF(R40&lt;&gt;"",(R40-(B40+C40))*24,(NOW()-(B40+C40))*24))</f>
        <v/>
      </c>
      <c r="T40" s="4">
        <f>IF(B40="","",IF(OR(Q40="Résolu",Q40="Clôturé"),IF(R40&lt;=O40,"Oui","Non"),IF(NOW()&lt;=O40,"En cours","En retard")))</f>
        <v/>
      </c>
    </row>
    <row r="41">
      <c r="A41" s="4">
        <f>IF(B41="","","Inc-Demo-"&amp;TEXT(ROW()-5,"0000"))</f>
        <v/>
      </c>
      <c r="B41" s="8" t="n"/>
      <c r="C41" s="9" t="n"/>
      <c r="N41" s="4">
        <f>IF(M41="","",VLOOKUP(M41,Parametres_SLA!$A$5:$B$8,2,FALSE))</f>
        <v/>
      </c>
      <c r="O41" s="5">
        <f>IF(B41="","",B41+C41+N41/24)</f>
        <v/>
      </c>
      <c r="R41" s="8" t="n"/>
      <c r="S41" s="7">
        <f>IF(B41="","",IF(R41&lt;&gt;"",(R41-(B41+C41))*24,(NOW()-(B41+C41))*24))</f>
        <v/>
      </c>
      <c r="T41" s="4">
        <f>IF(B41="","",IF(OR(Q41="Résolu",Q41="Clôturé"),IF(R41&lt;=O41,"Oui","Non"),IF(NOW()&lt;=O41,"En cours","En retard")))</f>
        <v/>
      </c>
    </row>
    <row r="42">
      <c r="A42" s="4">
        <f>IF(B42="","","Inc-Demo-"&amp;TEXT(ROW()-5,"0000"))</f>
        <v/>
      </c>
      <c r="B42" s="8" t="n"/>
      <c r="C42" s="9" t="n"/>
      <c r="N42" s="4">
        <f>IF(M42="","",VLOOKUP(M42,Parametres_SLA!$A$5:$B$8,2,FALSE))</f>
        <v/>
      </c>
      <c r="O42" s="5">
        <f>IF(B42="","",B42+C42+N42/24)</f>
        <v/>
      </c>
      <c r="R42" s="8" t="n"/>
      <c r="S42" s="7">
        <f>IF(B42="","",IF(R42&lt;&gt;"",(R42-(B42+C42))*24,(NOW()-(B42+C42))*24))</f>
        <v/>
      </c>
      <c r="T42" s="4">
        <f>IF(B42="","",IF(OR(Q42="Résolu",Q42="Clôturé"),IF(R42&lt;=O42,"Oui","Non"),IF(NOW()&lt;=O42,"En cours","En retard")))</f>
        <v/>
      </c>
    </row>
    <row r="43">
      <c r="A43" s="4">
        <f>IF(B43="","","Inc-Demo-"&amp;TEXT(ROW()-5,"0000"))</f>
        <v/>
      </c>
      <c r="B43" s="8" t="n"/>
      <c r="C43" s="9" t="n"/>
      <c r="N43" s="4">
        <f>IF(M43="","",VLOOKUP(M43,Parametres_SLA!$A$5:$B$8,2,FALSE))</f>
        <v/>
      </c>
      <c r="O43" s="5">
        <f>IF(B43="","",B43+C43+N43/24)</f>
        <v/>
      </c>
      <c r="R43" s="8" t="n"/>
      <c r="S43" s="7">
        <f>IF(B43="","",IF(R43&lt;&gt;"",(R43-(B43+C43))*24,(NOW()-(B43+C43))*24))</f>
        <v/>
      </c>
      <c r="T43" s="4">
        <f>IF(B43="","",IF(OR(Q43="Résolu",Q43="Clôturé"),IF(R43&lt;=O43,"Oui","Non"),IF(NOW()&lt;=O43,"En cours","En retard")))</f>
        <v/>
      </c>
    </row>
    <row r="44">
      <c r="A44" s="4">
        <f>IF(B44="","","Inc-Demo-"&amp;TEXT(ROW()-5,"0000"))</f>
        <v/>
      </c>
      <c r="B44" s="8" t="n"/>
      <c r="C44" s="9" t="n"/>
      <c r="N44" s="4">
        <f>IF(M44="","",VLOOKUP(M44,Parametres_SLA!$A$5:$B$8,2,FALSE))</f>
        <v/>
      </c>
      <c r="O44" s="5">
        <f>IF(B44="","",B44+C44+N44/24)</f>
        <v/>
      </c>
      <c r="R44" s="8" t="n"/>
      <c r="S44" s="7">
        <f>IF(B44="","",IF(R44&lt;&gt;"",(R44-(B44+C44))*24,(NOW()-(B44+C44))*24))</f>
        <v/>
      </c>
      <c r="T44" s="4">
        <f>IF(B44="","",IF(OR(Q44="Résolu",Q44="Clôturé"),IF(R44&lt;=O44,"Oui","Non"),IF(NOW()&lt;=O44,"En cours","En retard")))</f>
        <v/>
      </c>
    </row>
    <row r="45">
      <c r="A45" s="4">
        <f>IF(B45="","","Inc-Demo-"&amp;TEXT(ROW()-5,"0000"))</f>
        <v/>
      </c>
      <c r="B45" s="8" t="n"/>
      <c r="C45" s="9" t="n"/>
      <c r="N45" s="4">
        <f>IF(M45="","",VLOOKUP(M45,Parametres_SLA!$A$5:$B$8,2,FALSE))</f>
        <v/>
      </c>
      <c r="O45" s="5">
        <f>IF(B45="","",B45+C45+N45/24)</f>
        <v/>
      </c>
      <c r="R45" s="8" t="n"/>
      <c r="S45" s="7">
        <f>IF(B45="","",IF(R45&lt;&gt;"",(R45-(B45+C45))*24,(NOW()-(B45+C45))*24))</f>
        <v/>
      </c>
      <c r="T45" s="4">
        <f>IF(B45="","",IF(OR(Q45="Résolu",Q45="Clôturé"),IF(R45&lt;=O45,"Oui","Non"),IF(NOW()&lt;=O45,"En cours","En retard")))</f>
        <v/>
      </c>
    </row>
    <row r="46">
      <c r="A46" s="4">
        <f>IF(B46="","","Inc-Demo-"&amp;TEXT(ROW()-5,"0000"))</f>
        <v/>
      </c>
      <c r="B46" s="8" t="n"/>
      <c r="C46" s="9" t="n"/>
      <c r="N46" s="4">
        <f>IF(M46="","",VLOOKUP(M46,Parametres_SLA!$A$5:$B$8,2,FALSE))</f>
        <v/>
      </c>
      <c r="O46" s="5">
        <f>IF(B46="","",B46+C46+N46/24)</f>
        <v/>
      </c>
      <c r="R46" s="8" t="n"/>
      <c r="S46" s="7">
        <f>IF(B46="","",IF(R46&lt;&gt;"",(R46-(B46+C46))*24,(NOW()-(B46+C46))*24))</f>
        <v/>
      </c>
      <c r="T46" s="4">
        <f>IF(B46="","",IF(OR(Q46="Résolu",Q46="Clôturé"),IF(R46&lt;=O46,"Oui","Non"),IF(NOW()&lt;=O46,"En cours","En retard")))</f>
        <v/>
      </c>
    </row>
    <row r="47">
      <c r="A47" s="4">
        <f>IF(B47="","","Inc-Demo-"&amp;TEXT(ROW()-5,"0000"))</f>
        <v/>
      </c>
      <c r="B47" s="8" t="n"/>
      <c r="C47" s="9" t="n"/>
      <c r="N47" s="4">
        <f>IF(M47="","",VLOOKUP(M47,Parametres_SLA!$A$5:$B$8,2,FALSE))</f>
        <v/>
      </c>
      <c r="O47" s="5">
        <f>IF(B47="","",B47+C47+N47/24)</f>
        <v/>
      </c>
      <c r="R47" s="8" t="n"/>
      <c r="S47" s="7">
        <f>IF(B47="","",IF(R47&lt;&gt;"",(R47-(B47+C47))*24,(NOW()-(B47+C47))*24))</f>
        <v/>
      </c>
      <c r="T47" s="4">
        <f>IF(B47="","",IF(OR(Q47="Résolu",Q47="Clôturé"),IF(R47&lt;=O47,"Oui","Non"),IF(NOW()&lt;=O47,"En cours","En retard")))</f>
        <v/>
      </c>
    </row>
    <row r="48">
      <c r="A48" s="4">
        <f>IF(B48="","","Inc-Demo-"&amp;TEXT(ROW()-5,"0000"))</f>
        <v/>
      </c>
      <c r="B48" s="8" t="n"/>
      <c r="C48" s="9" t="n"/>
      <c r="N48" s="4">
        <f>IF(M48="","",VLOOKUP(M48,Parametres_SLA!$A$5:$B$8,2,FALSE))</f>
        <v/>
      </c>
      <c r="O48" s="5">
        <f>IF(B48="","",B48+C48+N48/24)</f>
        <v/>
      </c>
      <c r="R48" s="8" t="n"/>
      <c r="S48" s="7">
        <f>IF(B48="","",IF(R48&lt;&gt;"",(R48-(B48+C48))*24,(NOW()-(B48+C48))*24))</f>
        <v/>
      </c>
      <c r="T48" s="4">
        <f>IF(B48="","",IF(OR(Q48="Résolu",Q48="Clôturé"),IF(R48&lt;=O48,"Oui","Non"),IF(NOW()&lt;=O48,"En cours","En retard")))</f>
        <v/>
      </c>
    </row>
    <row r="49">
      <c r="A49" s="4">
        <f>IF(B49="","","Inc-Demo-"&amp;TEXT(ROW()-5,"0000"))</f>
        <v/>
      </c>
      <c r="B49" s="8" t="n"/>
      <c r="C49" s="9" t="n"/>
      <c r="N49" s="4">
        <f>IF(M49="","",VLOOKUP(M49,Parametres_SLA!$A$5:$B$8,2,FALSE))</f>
        <v/>
      </c>
      <c r="O49" s="5">
        <f>IF(B49="","",B49+C49+N49/24)</f>
        <v/>
      </c>
      <c r="R49" s="8" t="n"/>
      <c r="S49" s="7">
        <f>IF(B49="","",IF(R49&lt;&gt;"",(R49-(B49+C49))*24,(NOW()-(B49+C49))*24))</f>
        <v/>
      </c>
      <c r="T49" s="4">
        <f>IF(B49="","",IF(OR(Q49="Résolu",Q49="Clôturé"),IF(R49&lt;=O49,"Oui","Non"),IF(NOW()&lt;=O49,"En cours","En retard")))</f>
        <v/>
      </c>
    </row>
    <row r="50">
      <c r="A50" s="4">
        <f>IF(B50="","","Inc-Demo-"&amp;TEXT(ROW()-5,"0000"))</f>
        <v/>
      </c>
      <c r="B50" s="8" t="n"/>
      <c r="C50" s="9" t="n"/>
      <c r="N50" s="4">
        <f>IF(M50="","",VLOOKUP(M50,Parametres_SLA!$A$5:$B$8,2,FALSE))</f>
        <v/>
      </c>
      <c r="O50" s="5">
        <f>IF(B50="","",B50+C50+N50/24)</f>
        <v/>
      </c>
      <c r="R50" s="8" t="n"/>
      <c r="S50" s="7">
        <f>IF(B50="","",IF(R50&lt;&gt;"",(R50-(B50+C50))*24,(NOW()-(B50+C50))*24))</f>
        <v/>
      </c>
      <c r="T50" s="4">
        <f>IF(B50="","",IF(OR(Q50="Résolu",Q50="Clôturé"),IF(R50&lt;=O50,"Oui","Non"),IF(NOW()&lt;=O50,"En cours","En retard")))</f>
        <v/>
      </c>
    </row>
    <row r="51">
      <c r="A51" s="4">
        <f>IF(B51="","","Inc-Demo-"&amp;TEXT(ROW()-5,"0000"))</f>
        <v/>
      </c>
      <c r="B51" s="8" t="n"/>
      <c r="C51" s="9" t="n"/>
      <c r="N51" s="4">
        <f>IF(M51="","",VLOOKUP(M51,Parametres_SLA!$A$5:$B$8,2,FALSE))</f>
        <v/>
      </c>
      <c r="O51" s="5">
        <f>IF(B51="","",B51+C51+N51/24)</f>
        <v/>
      </c>
      <c r="R51" s="8" t="n"/>
      <c r="S51" s="7">
        <f>IF(B51="","",IF(R51&lt;&gt;"",(R51-(B51+C51))*24,(NOW()-(B51+C51))*24))</f>
        <v/>
      </c>
      <c r="T51" s="4">
        <f>IF(B51="","",IF(OR(Q51="Résolu",Q51="Clôturé"),IF(R51&lt;=O51,"Oui","Non"),IF(NOW()&lt;=O51,"En cours","En retard")))</f>
        <v/>
      </c>
    </row>
    <row r="52">
      <c r="A52" s="4">
        <f>IF(B52="","","Inc-Demo-"&amp;TEXT(ROW()-5,"0000"))</f>
        <v/>
      </c>
      <c r="B52" s="8" t="n"/>
      <c r="C52" s="9" t="n"/>
      <c r="N52" s="4">
        <f>IF(M52="","",VLOOKUP(M52,Parametres_SLA!$A$5:$B$8,2,FALSE))</f>
        <v/>
      </c>
      <c r="O52" s="5">
        <f>IF(B52="","",B52+C52+N52/24)</f>
        <v/>
      </c>
      <c r="R52" s="8" t="n"/>
      <c r="S52" s="7">
        <f>IF(B52="","",IF(R52&lt;&gt;"",(R52-(B52+C52))*24,(NOW()-(B52+C52))*24))</f>
        <v/>
      </c>
      <c r="T52" s="4">
        <f>IF(B52="","",IF(OR(Q52="Résolu",Q52="Clôturé"),IF(R52&lt;=O52,"Oui","Non"),IF(NOW()&lt;=O52,"En cours","En retard")))</f>
        <v/>
      </c>
    </row>
    <row r="53">
      <c r="A53" s="4">
        <f>IF(B53="","","Inc-Demo-"&amp;TEXT(ROW()-5,"0000"))</f>
        <v/>
      </c>
      <c r="B53" s="8" t="n"/>
      <c r="C53" s="9" t="n"/>
      <c r="N53" s="4">
        <f>IF(M53="","",VLOOKUP(M53,Parametres_SLA!$A$5:$B$8,2,FALSE))</f>
        <v/>
      </c>
      <c r="O53" s="5">
        <f>IF(B53="","",B53+C53+N53/24)</f>
        <v/>
      </c>
      <c r="R53" s="8" t="n"/>
      <c r="S53" s="7">
        <f>IF(B53="","",IF(R53&lt;&gt;"",(R53-(B53+C53))*24,(NOW()-(B53+C53))*24))</f>
        <v/>
      </c>
      <c r="T53" s="4">
        <f>IF(B53="","",IF(OR(Q53="Résolu",Q53="Clôturé"),IF(R53&lt;=O53,"Oui","Non"),IF(NOW()&lt;=O53,"En cours","En retard")))</f>
        <v/>
      </c>
    </row>
    <row r="54">
      <c r="A54" s="4">
        <f>IF(B54="","","Inc-Demo-"&amp;TEXT(ROW()-5,"0000"))</f>
        <v/>
      </c>
      <c r="B54" s="8" t="n"/>
      <c r="C54" s="9" t="n"/>
      <c r="N54" s="4">
        <f>IF(M54="","",VLOOKUP(M54,Parametres_SLA!$A$5:$B$8,2,FALSE))</f>
        <v/>
      </c>
      <c r="O54" s="5">
        <f>IF(B54="","",B54+C54+N54/24)</f>
        <v/>
      </c>
      <c r="R54" s="8" t="n"/>
      <c r="S54" s="7">
        <f>IF(B54="","",IF(R54&lt;&gt;"",(R54-(B54+C54))*24,(NOW()-(B54+C54))*24))</f>
        <v/>
      </c>
      <c r="T54" s="4">
        <f>IF(B54="","",IF(OR(Q54="Résolu",Q54="Clôturé"),IF(R54&lt;=O54,"Oui","Non"),IF(NOW()&lt;=O54,"En cours","En retard")))</f>
        <v/>
      </c>
    </row>
    <row r="55">
      <c r="A55" s="4">
        <f>IF(B55="","","Inc-Demo-"&amp;TEXT(ROW()-5,"0000"))</f>
        <v/>
      </c>
      <c r="B55" s="8" t="n"/>
      <c r="C55" s="9" t="n"/>
      <c r="N55" s="4">
        <f>IF(M55="","",VLOOKUP(M55,Parametres_SLA!$A$5:$B$8,2,FALSE))</f>
        <v/>
      </c>
      <c r="O55" s="5">
        <f>IF(B55="","",B55+C55+N55/24)</f>
        <v/>
      </c>
      <c r="R55" s="8" t="n"/>
      <c r="S55" s="7">
        <f>IF(B55="","",IF(R55&lt;&gt;"",(R55-(B55+C55))*24,(NOW()-(B55+C55))*24))</f>
        <v/>
      </c>
      <c r="T55" s="4">
        <f>IF(B55="","",IF(OR(Q55="Résolu",Q55="Clôturé"),IF(R55&lt;=O55,"Oui","Non"),IF(NOW()&lt;=O55,"En cours","En retard")))</f>
        <v/>
      </c>
    </row>
    <row r="56">
      <c r="A56" s="4">
        <f>IF(B56="","","Inc-Demo-"&amp;TEXT(ROW()-5,"0000"))</f>
        <v/>
      </c>
      <c r="B56" s="8" t="n"/>
      <c r="C56" s="9" t="n"/>
      <c r="N56" s="4">
        <f>IF(M56="","",VLOOKUP(M56,Parametres_SLA!$A$5:$B$8,2,FALSE))</f>
        <v/>
      </c>
      <c r="O56" s="5">
        <f>IF(B56="","",B56+C56+N56/24)</f>
        <v/>
      </c>
      <c r="R56" s="8" t="n"/>
      <c r="S56" s="7">
        <f>IF(B56="","",IF(R56&lt;&gt;"",(R56-(B56+C56))*24,(NOW()-(B56+C56))*24))</f>
        <v/>
      </c>
      <c r="T56" s="4">
        <f>IF(B56="","",IF(OR(Q56="Résolu",Q56="Clôturé"),IF(R56&lt;=O56,"Oui","Non"),IF(NOW()&lt;=O56,"En cours","En retard")))</f>
        <v/>
      </c>
    </row>
    <row r="57">
      <c r="A57" s="4">
        <f>IF(B57="","","Inc-Demo-"&amp;TEXT(ROW()-5,"0000"))</f>
        <v/>
      </c>
      <c r="B57" s="8" t="n"/>
      <c r="C57" s="9" t="n"/>
      <c r="N57" s="4">
        <f>IF(M57="","",VLOOKUP(M57,Parametres_SLA!$A$5:$B$8,2,FALSE))</f>
        <v/>
      </c>
      <c r="O57" s="5">
        <f>IF(B57="","",B57+C57+N57/24)</f>
        <v/>
      </c>
      <c r="R57" s="8" t="n"/>
      <c r="S57" s="7">
        <f>IF(B57="","",IF(R57&lt;&gt;"",(R57-(B57+C57))*24,(NOW()-(B57+C57))*24))</f>
        <v/>
      </c>
      <c r="T57" s="4">
        <f>IF(B57="","",IF(OR(Q57="Résolu",Q57="Clôturé"),IF(R57&lt;=O57,"Oui","Non"),IF(NOW()&lt;=O57,"En cours","En retard")))</f>
        <v/>
      </c>
    </row>
    <row r="58">
      <c r="A58" s="4">
        <f>IF(B58="","","Inc-Demo-"&amp;TEXT(ROW()-5,"0000"))</f>
        <v/>
      </c>
      <c r="B58" s="8" t="n"/>
      <c r="C58" s="9" t="n"/>
      <c r="N58" s="4">
        <f>IF(M58="","",VLOOKUP(M58,Parametres_SLA!$A$5:$B$8,2,FALSE))</f>
        <v/>
      </c>
      <c r="O58" s="5">
        <f>IF(B58="","",B58+C58+N58/24)</f>
        <v/>
      </c>
      <c r="R58" s="8" t="n"/>
      <c r="S58" s="7">
        <f>IF(B58="","",IF(R58&lt;&gt;"",(R58-(B58+C58))*24,(NOW()-(B58+C58))*24))</f>
        <v/>
      </c>
      <c r="T58" s="4">
        <f>IF(B58="","",IF(OR(Q58="Résolu",Q58="Clôturé"),IF(R58&lt;=O58,"Oui","Non"),IF(NOW()&lt;=O58,"En cours","En retard")))</f>
        <v/>
      </c>
    </row>
    <row r="59">
      <c r="A59" s="4">
        <f>IF(B59="","","Inc-Demo-"&amp;TEXT(ROW()-5,"0000"))</f>
        <v/>
      </c>
      <c r="B59" s="8" t="n"/>
      <c r="C59" s="9" t="n"/>
      <c r="N59" s="4">
        <f>IF(M59="","",VLOOKUP(M59,Parametres_SLA!$A$5:$B$8,2,FALSE))</f>
        <v/>
      </c>
      <c r="O59" s="5">
        <f>IF(B59="","",B59+C59+N59/24)</f>
        <v/>
      </c>
      <c r="R59" s="8" t="n"/>
      <c r="S59" s="7">
        <f>IF(B59="","",IF(R59&lt;&gt;"",(R59-(B59+C59))*24,(NOW()-(B59+C59))*24))</f>
        <v/>
      </c>
      <c r="T59" s="4">
        <f>IF(B59="","",IF(OR(Q59="Résolu",Q59="Clôturé"),IF(R59&lt;=O59,"Oui","Non"),IF(NOW()&lt;=O59,"En cours","En retard")))</f>
        <v/>
      </c>
    </row>
    <row r="60">
      <c r="A60" s="4">
        <f>IF(B60="","","Inc-Demo-"&amp;TEXT(ROW()-5,"0000"))</f>
        <v/>
      </c>
      <c r="B60" s="8" t="n"/>
      <c r="C60" s="9" t="n"/>
      <c r="N60" s="4">
        <f>IF(M60="","",VLOOKUP(M60,Parametres_SLA!$A$5:$B$8,2,FALSE))</f>
        <v/>
      </c>
      <c r="O60" s="5">
        <f>IF(B60="","",B60+C60+N60/24)</f>
        <v/>
      </c>
      <c r="R60" s="8" t="n"/>
      <c r="S60" s="7">
        <f>IF(B60="","",IF(R60&lt;&gt;"",(R60-(B60+C60))*24,(NOW()-(B60+C60))*24))</f>
        <v/>
      </c>
      <c r="T60" s="4">
        <f>IF(B60="","",IF(OR(Q60="Résolu",Q60="Clôturé"),IF(R60&lt;=O60,"Oui","Non"),IF(NOW()&lt;=O60,"En cours","En retard")))</f>
        <v/>
      </c>
    </row>
    <row r="61">
      <c r="A61" s="4">
        <f>IF(B61="","","Inc-Demo-"&amp;TEXT(ROW()-5,"0000"))</f>
        <v/>
      </c>
      <c r="B61" s="8" t="n"/>
      <c r="C61" s="9" t="n"/>
      <c r="N61" s="4">
        <f>IF(M61="","",VLOOKUP(M61,Parametres_SLA!$A$5:$B$8,2,FALSE))</f>
        <v/>
      </c>
      <c r="O61" s="5">
        <f>IF(B61="","",B61+C61+N61/24)</f>
        <v/>
      </c>
      <c r="R61" s="8" t="n"/>
      <c r="S61" s="7">
        <f>IF(B61="","",IF(R61&lt;&gt;"",(R61-(B61+C61))*24,(NOW()-(B61+C61))*24))</f>
        <v/>
      </c>
      <c r="T61" s="4">
        <f>IF(B61="","",IF(OR(Q61="Résolu",Q61="Clôturé"),IF(R61&lt;=O61,"Oui","Non"),IF(NOW()&lt;=O61,"En cours","En retard")))</f>
        <v/>
      </c>
    </row>
    <row r="62">
      <c r="A62" s="4">
        <f>IF(B62="","","Inc-Demo-"&amp;TEXT(ROW()-5,"0000"))</f>
        <v/>
      </c>
      <c r="B62" s="8" t="n"/>
      <c r="C62" s="9" t="n"/>
      <c r="N62" s="4">
        <f>IF(M62="","",VLOOKUP(M62,Parametres_SLA!$A$5:$B$8,2,FALSE))</f>
        <v/>
      </c>
      <c r="O62" s="5">
        <f>IF(B62="","",B62+C62+N62/24)</f>
        <v/>
      </c>
      <c r="R62" s="8" t="n"/>
      <c r="S62" s="7">
        <f>IF(B62="","",IF(R62&lt;&gt;"",(R62-(B62+C62))*24,(NOW()-(B62+C62))*24))</f>
        <v/>
      </c>
      <c r="T62" s="4">
        <f>IF(B62="","",IF(OR(Q62="Résolu",Q62="Clôturé"),IF(R62&lt;=O62,"Oui","Non"),IF(NOW()&lt;=O62,"En cours","En retard")))</f>
        <v/>
      </c>
    </row>
    <row r="63">
      <c r="A63" s="4">
        <f>IF(B63="","","Inc-Demo-"&amp;TEXT(ROW()-5,"0000"))</f>
        <v/>
      </c>
      <c r="B63" s="8" t="n"/>
      <c r="C63" s="9" t="n"/>
      <c r="N63" s="4">
        <f>IF(M63="","",VLOOKUP(M63,Parametres_SLA!$A$5:$B$8,2,FALSE))</f>
        <v/>
      </c>
      <c r="O63" s="5">
        <f>IF(B63="","",B63+C63+N63/24)</f>
        <v/>
      </c>
      <c r="R63" s="8" t="n"/>
      <c r="S63" s="7">
        <f>IF(B63="","",IF(R63&lt;&gt;"",(R63-(B63+C63))*24,(NOW()-(B63+C63))*24))</f>
        <v/>
      </c>
      <c r="T63" s="4">
        <f>IF(B63="","",IF(OR(Q63="Résolu",Q63="Clôturé"),IF(R63&lt;=O63,"Oui","Non"),IF(NOW()&lt;=O63,"En cours","En retard")))</f>
        <v/>
      </c>
    </row>
    <row r="64">
      <c r="A64" s="4">
        <f>IF(B64="","","Inc-Demo-"&amp;TEXT(ROW()-5,"0000"))</f>
        <v/>
      </c>
      <c r="B64" s="8" t="n"/>
      <c r="C64" s="9" t="n"/>
      <c r="N64" s="4">
        <f>IF(M64="","",VLOOKUP(M64,Parametres_SLA!$A$5:$B$8,2,FALSE))</f>
        <v/>
      </c>
      <c r="O64" s="5">
        <f>IF(B64="","",B64+C64+N64/24)</f>
        <v/>
      </c>
      <c r="R64" s="8" t="n"/>
      <c r="S64" s="7">
        <f>IF(B64="","",IF(R64&lt;&gt;"",(R64-(B64+C64))*24,(NOW()-(B64+C64))*24))</f>
        <v/>
      </c>
      <c r="T64" s="4">
        <f>IF(B64="","",IF(OR(Q64="Résolu",Q64="Clôturé"),IF(R64&lt;=O64,"Oui","Non"),IF(NOW()&lt;=O64,"En cours","En retard")))</f>
        <v/>
      </c>
    </row>
    <row r="65">
      <c r="A65" s="4">
        <f>IF(B65="","","Inc-Demo-"&amp;TEXT(ROW()-5,"0000"))</f>
        <v/>
      </c>
      <c r="B65" s="8" t="n"/>
      <c r="C65" s="9" t="n"/>
      <c r="N65" s="4">
        <f>IF(M65="","",VLOOKUP(M65,Parametres_SLA!$A$5:$B$8,2,FALSE))</f>
        <v/>
      </c>
      <c r="O65" s="5">
        <f>IF(B65="","",B65+C65+N65/24)</f>
        <v/>
      </c>
      <c r="R65" s="8" t="n"/>
      <c r="S65" s="7">
        <f>IF(B65="","",IF(R65&lt;&gt;"",(R65-(B65+C65))*24,(NOW()-(B65+C65))*24))</f>
        <v/>
      </c>
      <c r="T65" s="4">
        <f>IF(B65="","",IF(OR(Q65="Résolu",Q65="Clôturé"),IF(R65&lt;=O65,"Oui","Non"),IF(NOW()&lt;=O65,"En cours","En retard")))</f>
        <v/>
      </c>
    </row>
    <row r="66">
      <c r="A66" s="4">
        <f>IF(B66="","","Inc-Demo-"&amp;TEXT(ROW()-5,"0000"))</f>
        <v/>
      </c>
      <c r="B66" s="8" t="n"/>
      <c r="C66" s="9" t="n"/>
      <c r="N66" s="4">
        <f>IF(M66="","",VLOOKUP(M66,Parametres_SLA!$A$5:$B$8,2,FALSE))</f>
        <v/>
      </c>
      <c r="O66" s="5">
        <f>IF(B66="","",B66+C66+N66/24)</f>
        <v/>
      </c>
      <c r="R66" s="8" t="n"/>
      <c r="S66" s="7">
        <f>IF(B66="","",IF(R66&lt;&gt;"",(R66-(B66+C66))*24,(NOW()-(B66+C66))*24))</f>
        <v/>
      </c>
      <c r="T66" s="4">
        <f>IF(B66="","",IF(OR(Q66="Résolu",Q66="Clôturé"),IF(R66&lt;=O66,"Oui","Non"),IF(NOW()&lt;=O66,"En cours","En retard")))</f>
        <v/>
      </c>
    </row>
    <row r="67">
      <c r="A67" s="4">
        <f>IF(B67="","","Inc-Demo-"&amp;TEXT(ROW()-5,"0000"))</f>
        <v/>
      </c>
      <c r="B67" s="8" t="n"/>
      <c r="C67" s="9" t="n"/>
      <c r="N67" s="4">
        <f>IF(M67="","",VLOOKUP(M67,Parametres_SLA!$A$5:$B$8,2,FALSE))</f>
        <v/>
      </c>
      <c r="O67" s="5">
        <f>IF(B67="","",B67+C67+N67/24)</f>
        <v/>
      </c>
      <c r="R67" s="8" t="n"/>
      <c r="S67" s="7">
        <f>IF(B67="","",IF(R67&lt;&gt;"",(R67-(B67+C67))*24,(NOW()-(B67+C67))*24))</f>
        <v/>
      </c>
      <c r="T67" s="4">
        <f>IF(B67="","",IF(OR(Q67="Résolu",Q67="Clôturé"),IF(R67&lt;=O67,"Oui","Non"),IF(NOW()&lt;=O67,"En cours","En retard")))</f>
        <v/>
      </c>
    </row>
    <row r="68">
      <c r="A68" s="4">
        <f>IF(B68="","","Inc-Demo-"&amp;TEXT(ROW()-5,"0000"))</f>
        <v/>
      </c>
      <c r="B68" s="8" t="n"/>
      <c r="C68" s="9" t="n"/>
      <c r="N68" s="4">
        <f>IF(M68="","",VLOOKUP(M68,Parametres_SLA!$A$5:$B$8,2,FALSE))</f>
        <v/>
      </c>
      <c r="O68" s="5">
        <f>IF(B68="","",B68+C68+N68/24)</f>
        <v/>
      </c>
      <c r="R68" s="8" t="n"/>
      <c r="S68" s="7">
        <f>IF(B68="","",IF(R68&lt;&gt;"",(R68-(B68+C68))*24,(NOW()-(B68+C68))*24))</f>
        <v/>
      </c>
      <c r="T68" s="4">
        <f>IF(B68="","",IF(OR(Q68="Résolu",Q68="Clôturé"),IF(R68&lt;=O68,"Oui","Non"),IF(NOW()&lt;=O68,"En cours","En retard")))</f>
        <v/>
      </c>
    </row>
    <row r="69">
      <c r="A69" s="4">
        <f>IF(B69="","","Inc-Demo-"&amp;TEXT(ROW()-5,"0000"))</f>
        <v/>
      </c>
      <c r="B69" s="8" t="n"/>
      <c r="C69" s="9" t="n"/>
      <c r="N69" s="4">
        <f>IF(M69="","",VLOOKUP(M69,Parametres_SLA!$A$5:$B$8,2,FALSE))</f>
        <v/>
      </c>
      <c r="O69" s="5">
        <f>IF(B69="","",B69+C69+N69/24)</f>
        <v/>
      </c>
      <c r="R69" s="8" t="n"/>
      <c r="S69" s="7">
        <f>IF(B69="","",IF(R69&lt;&gt;"",(R69-(B69+C69))*24,(NOW()-(B69+C69))*24))</f>
        <v/>
      </c>
      <c r="T69" s="4">
        <f>IF(B69="","",IF(OR(Q69="Résolu",Q69="Clôturé"),IF(R69&lt;=O69,"Oui","Non"),IF(NOW()&lt;=O69,"En cours","En retard")))</f>
        <v/>
      </c>
    </row>
    <row r="70">
      <c r="A70" s="4">
        <f>IF(B70="","","Inc-Demo-"&amp;TEXT(ROW()-5,"0000"))</f>
        <v/>
      </c>
      <c r="B70" s="8" t="n"/>
      <c r="C70" s="9" t="n"/>
      <c r="N70" s="4">
        <f>IF(M70="","",VLOOKUP(M70,Parametres_SLA!$A$5:$B$8,2,FALSE))</f>
        <v/>
      </c>
      <c r="O70" s="5">
        <f>IF(B70="","",B70+C70+N70/24)</f>
        <v/>
      </c>
      <c r="R70" s="8" t="n"/>
      <c r="S70" s="7">
        <f>IF(B70="","",IF(R70&lt;&gt;"",(R70-(B70+C70))*24,(NOW()-(B70+C70))*24))</f>
        <v/>
      </c>
      <c r="T70" s="4">
        <f>IF(B70="","",IF(OR(Q70="Résolu",Q70="Clôturé"),IF(R70&lt;=O70,"Oui","Non"),IF(NOW()&lt;=O70,"En cours","En retard")))</f>
        <v/>
      </c>
    </row>
    <row r="71">
      <c r="A71" s="4">
        <f>IF(B71="","","Inc-Demo-"&amp;TEXT(ROW()-5,"0000"))</f>
        <v/>
      </c>
      <c r="B71" s="8" t="n"/>
      <c r="C71" s="9" t="n"/>
      <c r="N71" s="4">
        <f>IF(M71="","",VLOOKUP(M71,Parametres_SLA!$A$5:$B$8,2,FALSE))</f>
        <v/>
      </c>
      <c r="O71" s="5">
        <f>IF(B71="","",B71+C71+N71/24)</f>
        <v/>
      </c>
      <c r="R71" s="8" t="n"/>
      <c r="S71" s="7">
        <f>IF(B71="","",IF(R71&lt;&gt;"",(R71-(B71+C71))*24,(NOW()-(B71+C71))*24))</f>
        <v/>
      </c>
      <c r="T71" s="4">
        <f>IF(B71="","",IF(OR(Q71="Résolu",Q71="Clôturé"),IF(R71&lt;=O71,"Oui","Non"),IF(NOW()&lt;=O71,"En cours","En retard")))</f>
        <v/>
      </c>
    </row>
    <row r="72">
      <c r="A72" s="4">
        <f>IF(B72="","","Inc-Demo-"&amp;TEXT(ROW()-5,"0000"))</f>
        <v/>
      </c>
      <c r="B72" s="8" t="n"/>
      <c r="C72" s="9" t="n"/>
      <c r="N72" s="4">
        <f>IF(M72="","",VLOOKUP(M72,Parametres_SLA!$A$5:$B$8,2,FALSE))</f>
        <v/>
      </c>
      <c r="O72" s="5">
        <f>IF(B72="","",B72+C72+N72/24)</f>
        <v/>
      </c>
      <c r="R72" s="8" t="n"/>
      <c r="S72" s="7">
        <f>IF(B72="","",IF(R72&lt;&gt;"",(R72-(B72+C72))*24,(NOW()-(B72+C72))*24))</f>
        <v/>
      </c>
      <c r="T72" s="4">
        <f>IF(B72="","",IF(OR(Q72="Résolu",Q72="Clôturé"),IF(R72&lt;=O72,"Oui","Non"),IF(NOW()&lt;=O72,"En cours","En retard")))</f>
        <v/>
      </c>
    </row>
    <row r="73">
      <c r="A73" s="4">
        <f>IF(B73="","","Inc-Demo-"&amp;TEXT(ROW()-5,"0000"))</f>
        <v/>
      </c>
      <c r="B73" s="8" t="n"/>
      <c r="C73" s="9" t="n"/>
      <c r="N73" s="4">
        <f>IF(M73="","",VLOOKUP(M73,Parametres_SLA!$A$5:$B$8,2,FALSE))</f>
        <v/>
      </c>
      <c r="O73" s="5">
        <f>IF(B73="","",B73+C73+N73/24)</f>
        <v/>
      </c>
      <c r="R73" s="8" t="n"/>
      <c r="S73" s="7">
        <f>IF(B73="","",IF(R73&lt;&gt;"",(R73-(B73+C73))*24,(NOW()-(B73+C73))*24))</f>
        <v/>
      </c>
      <c r="T73" s="4">
        <f>IF(B73="","",IF(OR(Q73="Résolu",Q73="Clôturé"),IF(R73&lt;=O73,"Oui","Non"),IF(NOW()&lt;=O73,"En cours","En retard")))</f>
        <v/>
      </c>
    </row>
    <row r="74">
      <c r="A74" s="4">
        <f>IF(B74="","","Inc-Demo-"&amp;TEXT(ROW()-5,"0000"))</f>
        <v/>
      </c>
      <c r="B74" s="8" t="n"/>
      <c r="C74" s="9" t="n"/>
      <c r="N74" s="4">
        <f>IF(M74="","",VLOOKUP(M74,Parametres_SLA!$A$5:$B$8,2,FALSE))</f>
        <v/>
      </c>
      <c r="O74" s="5">
        <f>IF(B74="","",B74+C74+N74/24)</f>
        <v/>
      </c>
      <c r="R74" s="8" t="n"/>
      <c r="S74" s="7">
        <f>IF(B74="","",IF(R74&lt;&gt;"",(R74-(B74+C74))*24,(NOW()-(B74+C74))*24))</f>
        <v/>
      </c>
      <c r="T74" s="4">
        <f>IF(B74="","",IF(OR(Q74="Résolu",Q74="Clôturé"),IF(R74&lt;=O74,"Oui","Non"),IF(NOW()&lt;=O74,"En cours","En retard")))</f>
        <v/>
      </c>
    </row>
    <row r="75">
      <c r="A75" s="4">
        <f>IF(B75="","","Inc-Demo-"&amp;TEXT(ROW()-5,"0000"))</f>
        <v/>
      </c>
      <c r="B75" s="8" t="n"/>
      <c r="C75" s="9" t="n"/>
      <c r="N75" s="4">
        <f>IF(M75="","",VLOOKUP(M75,Parametres_SLA!$A$5:$B$8,2,FALSE))</f>
        <v/>
      </c>
      <c r="O75" s="5">
        <f>IF(B75="","",B75+C75+N75/24)</f>
        <v/>
      </c>
      <c r="R75" s="8" t="n"/>
      <c r="S75" s="7">
        <f>IF(B75="","",IF(R75&lt;&gt;"",(R75-(B75+C75))*24,(NOW()-(B75+C75))*24))</f>
        <v/>
      </c>
      <c r="T75" s="4">
        <f>IF(B75="","",IF(OR(Q75="Résolu",Q75="Clôturé"),IF(R75&lt;=O75,"Oui","Non"),IF(NOW()&lt;=O75,"En cours","En retard")))</f>
        <v/>
      </c>
    </row>
    <row r="76">
      <c r="A76" s="4">
        <f>IF(B76="","","Inc-Demo-"&amp;TEXT(ROW()-5,"0000"))</f>
        <v/>
      </c>
      <c r="B76" s="8" t="n"/>
      <c r="C76" s="9" t="n"/>
      <c r="N76" s="4">
        <f>IF(M76="","",VLOOKUP(M76,Parametres_SLA!$A$5:$B$8,2,FALSE))</f>
        <v/>
      </c>
      <c r="O76" s="5">
        <f>IF(B76="","",B76+C76+N76/24)</f>
        <v/>
      </c>
      <c r="R76" s="8" t="n"/>
      <c r="S76" s="7">
        <f>IF(B76="","",IF(R76&lt;&gt;"",(R76-(B76+C76))*24,(NOW()-(B76+C76))*24))</f>
        <v/>
      </c>
      <c r="T76" s="4">
        <f>IF(B76="","",IF(OR(Q76="Résolu",Q76="Clôturé"),IF(R76&lt;=O76,"Oui","Non"),IF(NOW()&lt;=O76,"En cours","En retard")))</f>
        <v/>
      </c>
    </row>
    <row r="77">
      <c r="A77" s="4">
        <f>IF(B77="","","Inc-Demo-"&amp;TEXT(ROW()-5,"0000"))</f>
        <v/>
      </c>
      <c r="B77" s="8" t="n"/>
      <c r="C77" s="9" t="n"/>
      <c r="N77" s="4">
        <f>IF(M77="","",VLOOKUP(M77,Parametres_SLA!$A$5:$B$8,2,FALSE))</f>
        <v/>
      </c>
      <c r="O77" s="5">
        <f>IF(B77="","",B77+C77+N77/24)</f>
        <v/>
      </c>
      <c r="R77" s="8" t="n"/>
      <c r="S77" s="7">
        <f>IF(B77="","",IF(R77&lt;&gt;"",(R77-(B77+C77))*24,(NOW()-(B77+C77))*24))</f>
        <v/>
      </c>
      <c r="T77" s="4">
        <f>IF(B77="","",IF(OR(Q77="Résolu",Q77="Clôturé"),IF(R77&lt;=O77,"Oui","Non"),IF(NOW()&lt;=O77,"En cours","En retard")))</f>
        <v/>
      </c>
    </row>
    <row r="78">
      <c r="A78" s="4">
        <f>IF(B78="","","Inc-Demo-"&amp;TEXT(ROW()-5,"0000"))</f>
        <v/>
      </c>
      <c r="B78" s="8" t="n"/>
      <c r="C78" s="9" t="n"/>
      <c r="N78" s="4">
        <f>IF(M78="","",VLOOKUP(M78,Parametres_SLA!$A$5:$B$8,2,FALSE))</f>
        <v/>
      </c>
      <c r="O78" s="5">
        <f>IF(B78="","",B78+C78+N78/24)</f>
        <v/>
      </c>
      <c r="R78" s="8" t="n"/>
      <c r="S78" s="7">
        <f>IF(B78="","",IF(R78&lt;&gt;"",(R78-(B78+C78))*24,(NOW()-(B78+C78))*24))</f>
        <v/>
      </c>
      <c r="T78" s="4">
        <f>IF(B78="","",IF(OR(Q78="Résolu",Q78="Clôturé"),IF(R78&lt;=O78,"Oui","Non"),IF(NOW()&lt;=O78,"En cours","En retard")))</f>
        <v/>
      </c>
    </row>
    <row r="79">
      <c r="A79" s="4">
        <f>IF(B79="","","Inc-Demo-"&amp;TEXT(ROW()-5,"0000"))</f>
        <v/>
      </c>
      <c r="B79" s="8" t="n"/>
      <c r="C79" s="9" t="n"/>
      <c r="N79" s="4">
        <f>IF(M79="","",VLOOKUP(M79,Parametres_SLA!$A$5:$B$8,2,FALSE))</f>
        <v/>
      </c>
      <c r="O79" s="5">
        <f>IF(B79="","",B79+C79+N79/24)</f>
        <v/>
      </c>
      <c r="R79" s="8" t="n"/>
      <c r="S79" s="7">
        <f>IF(B79="","",IF(R79&lt;&gt;"",(R79-(B79+C79))*24,(NOW()-(B79+C79))*24))</f>
        <v/>
      </c>
      <c r="T79" s="4">
        <f>IF(B79="","",IF(OR(Q79="Résolu",Q79="Clôturé"),IF(R79&lt;=O79,"Oui","Non"),IF(NOW()&lt;=O79,"En cours","En retard")))</f>
        <v/>
      </c>
    </row>
    <row r="80">
      <c r="A80" s="4">
        <f>IF(B80="","","Inc-Demo-"&amp;TEXT(ROW()-5,"0000"))</f>
        <v/>
      </c>
      <c r="B80" s="8" t="n"/>
      <c r="C80" s="9" t="n"/>
      <c r="N80" s="4">
        <f>IF(M80="","",VLOOKUP(M80,Parametres_SLA!$A$5:$B$8,2,FALSE))</f>
        <v/>
      </c>
      <c r="O80" s="5">
        <f>IF(B80="","",B80+C80+N80/24)</f>
        <v/>
      </c>
      <c r="R80" s="8" t="n"/>
      <c r="S80" s="7">
        <f>IF(B80="","",IF(R80&lt;&gt;"",(R80-(B80+C80))*24,(NOW()-(B80+C80))*24))</f>
        <v/>
      </c>
      <c r="T80" s="4">
        <f>IF(B80="","",IF(OR(Q80="Résolu",Q80="Clôturé"),IF(R80&lt;=O80,"Oui","Non"),IF(NOW()&lt;=O80,"En cours","En retard")))</f>
        <v/>
      </c>
    </row>
    <row r="81">
      <c r="A81" s="4">
        <f>IF(B81="","","Inc-Demo-"&amp;TEXT(ROW()-5,"0000"))</f>
        <v/>
      </c>
      <c r="B81" s="8" t="n"/>
      <c r="C81" s="9" t="n"/>
      <c r="N81" s="4">
        <f>IF(M81="","",VLOOKUP(M81,Parametres_SLA!$A$5:$B$8,2,FALSE))</f>
        <v/>
      </c>
      <c r="O81" s="5">
        <f>IF(B81="","",B81+C81+N81/24)</f>
        <v/>
      </c>
      <c r="R81" s="8" t="n"/>
      <c r="S81" s="7">
        <f>IF(B81="","",IF(R81&lt;&gt;"",(R81-(B81+C81))*24,(NOW()-(B81+C81))*24))</f>
        <v/>
      </c>
      <c r="T81" s="4">
        <f>IF(B81="","",IF(OR(Q81="Résolu",Q81="Clôturé"),IF(R81&lt;=O81,"Oui","Non"),IF(NOW()&lt;=O81,"En cours","En retard")))</f>
        <v/>
      </c>
    </row>
    <row r="82">
      <c r="A82" s="4">
        <f>IF(B82="","","Inc-Demo-"&amp;TEXT(ROW()-5,"0000"))</f>
        <v/>
      </c>
      <c r="B82" s="8" t="n"/>
      <c r="C82" s="9" t="n"/>
      <c r="N82" s="4">
        <f>IF(M82="","",VLOOKUP(M82,Parametres_SLA!$A$5:$B$8,2,FALSE))</f>
        <v/>
      </c>
      <c r="O82" s="5">
        <f>IF(B82="","",B82+C82+N82/24)</f>
        <v/>
      </c>
      <c r="R82" s="8" t="n"/>
      <c r="S82" s="7">
        <f>IF(B82="","",IF(R82&lt;&gt;"",(R82-(B82+C82))*24,(NOW()-(B82+C82))*24))</f>
        <v/>
      </c>
      <c r="T82" s="4">
        <f>IF(B82="","",IF(OR(Q82="Résolu",Q82="Clôturé"),IF(R82&lt;=O82,"Oui","Non"),IF(NOW()&lt;=O82,"En cours","En retard")))</f>
        <v/>
      </c>
    </row>
    <row r="83">
      <c r="A83" s="4">
        <f>IF(B83="","","Inc-Demo-"&amp;TEXT(ROW()-5,"0000"))</f>
        <v/>
      </c>
      <c r="B83" s="8" t="n"/>
      <c r="C83" s="9" t="n"/>
      <c r="N83" s="4">
        <f>IF(M83="","",VLOOKUP(M83,Parametres_SLA!$A$5:$B$8,2,FALSE))</f>
        <v/>
      </c>
      <c r="O83" s="5">
        <f>IF(B83="","",B83+C83+N83/24)</f>
        <v/>
      </c>
      <c r="R83" s="8" t="n"/>
      <c r="S83" s="7">
        <f>IF(B83="","",IF(R83&lt;&gt;"",(R83-(B83+C83))*24,(NOW()-(B83+C83))*24))</f>
        <v/>
      </c>
      <c r="T83" s="4">
        <f>IF(B83="","",IF(OR(Q83="Résolu",Q83="Clôturé"),IF(R83&lt;=O83,"Oui","Non"),IF(NOW()&lt;=O83,"En cours","En retard")))</f>
        <v/>
      </c>
    </row>
    <row r="84">
      <c r="A84" s="4">
        <f>IF(B84="","","Inc-Demo-"&amp;TEXT(ROW()-5,"0000"))</f>
        <v/>
      </c>
      <c r="B84" s="8" t="n"/>
      <c r="C84" s="9" t="n"/>
      <c r="N84" s="4">
        <f>IF(M84="","",VLOOKUP(M84,Parametres_SLA!$A$5:$B$8,2,FALSE))</f>
        <v/>
      </c>
      <c r="O84" s="5">
        <f>IF(B84="","",B84+C84+N84/24)</f>
        <v/>
      </c>
      <c r="R84" s="8" t="n"/>
      <c r="S84" s="7">
        <f>IF(B84="","",IF(R84&lt;&gt;"",(R84-(B84+C84))*24,(NOW()-(B84+C84))*24))</f>
        <v/>
      </c>
      <c r="T84" s="4">
        <f>IF(B84="","",IF(OR(Q84="Résolu",Q84="Clôturé"),IF(R84&lt;=O84,"Oui","Non"),IF(NOW()&lt;=O84,"En cours","En retard")))</f>
        <v/>
      </c>
    </row>
    <row r="85">
      <c r="A85" s="4">
        <f>IF(B85="","","Inc-Demo-"&amp;TEXT(ROW()-5,"0000"))</f>
        <v/>
      </c>
      <c r="B85" s="8" t="n"/>
      <c r="C85" s="9" t="n"/>
      <c r="N85" s="4">
        <f>IF(M85="","",VLOOKUP(M85,Parametres_SLA!$A$5:$B$8,2,FALSE))</f>
        <v/>
      </c>
      <c r="O85" s="5">
        <f>IF(B85="","",B85+C85+N85/24)</f>
        <v/>
      </c>
      <c r="R85" s="8" t="n"/>
      <c r="S85" s="7">
        <f>IF(B85="","",IF(R85&lt;&gt;"",(R85-(B85+C85))*24,(NOW()-(B85+C85))*24))</f>
        <v/>
      </c>
      <c r="T85" s="4">
        <f>IF(B85="","",IF(OR(Q85="Résolu",Q85="Clôturé"),IF(R85&lt;=O85,"Oui","Non"),IF(NOW()&lt;=O85,"En cours","En retard")))</f>
        <v/>
      </c>
    </row>
    <row r="86">
      <c r="A86" s="4">
        <f>IF(B86="","","Inc-Demo-"&amp;TEXT(ROW()-5,"0000"))</f>
        <v/>
      </c>
      <c r="B86" s="8" t="n"/>
      <c r="C86" s="9" t="n"/>
      <c r="N86" s="4">
        <f>IF(M86="","",VLOOKUP(M86,Parametres_SLA!$A$5:$B$8,2,FALSE))</f>
        <v/>
      </c>
      <c r="O86" s="5">
        <f>IF(B86="","",B86+C86+N86/24)</f>
        <v/>
      </c>
      <c r="R86" s="8" t="n"/>
      <c r="S86" s="7">
        <f>IF(B86="","",IF(R86&lt;&gt;"",(R86-(B86+C86))*24,(NOW()-(B86+C86))*24))</f>
        <v/>
      </c>
      <c r="T86" s="4">
        <f>IF(B86="","",IF(OR(Q86="Résolu",Q86="Clôturé"),IF(R86&lt;=O86,"Oui","Non"),IF(NOW()&lt;=O86,"En cours","En retard")))</f>
        <v/>
      </c>
    </row>
    <row r="87">
      <c r="A87" s="4">
        <f>IF(B87="","","Inc-Demo-"&amp;TEXT(ROW()-5,"0000"))</f>
        <v/>
      </c>
      <c r="B87" s="8" t="n"/>
      <c r="C87" s="9" t="n"/>
      <c r="N87" s="4">
        <f>IF(M87="","",VLOOKUP(M87,Parametres_SLA!$A$5:$B$8,2,FALSE))</f>
        <v/>
      </c>
      <c r="O87" s="5">
        <f>IF(B87="","",B87+C87+N87/24)</f>
        <v/>
      </c>
      <c r="R87" s="8" t="n"/>
      <c r="S87" s="7">
        <f>IF(B87="","",IF(R87&lt;&gt;"",(R87-(B87+C87))*24,(NOW()-(B87+C87))*24))</f>
        <v/>
      </c>
      <c r="T87" s="4">
        <f>IF(B87="","",IF(OR(Q87="Résolu",Q87="Clôturé"),IF(R87&lt;=O87,"Oui","Non"),IF(NOW()&lt;=O87,"En cours","En retard")))</f>
        <v/>
      </c>
    </row>
    <row r="88">
      <c r="A88" s="4">
        <f>IF(B88="","","Inc-Demo-"&amp;TEXT(ROW()-5,"0000"))</f>
        <v/>
      </c>
      <c r="B88" s="8" t="n"/>
      <c r="C88" s="9" t="n"/>
      <c r="N88" s="4">
        <f>IF(M88="","",VLOOKUP(M88,Parametres_SLA!$A$5:$B$8,2,FALSE))</f>
        <v/>
      </c>
      <c r="O88" s="5">
        <f>IF(B88="","",B88+C88+N88/24)</f>
        <v/>
      </c>
      <c r="R88" s="8" t="n"/>
      <c r="S88" s="7">
        <f>IF(B88="","",IF(R88&lt;&gt;"",(R88-(B88+C88))*24,(NOW()-(B88+C88))*24))</f>
        <v/>
      </c>
      <c r="T88" s="4">
        <f>IF(B88="","",IF(OR(Q88="Résolu",Q88="Clôturé"),IF(R88&lt;=O88,"Oui","Non"),IF(NOW()&lt;=O88,"En cours","En retard")))</f>
        <v/>
      </c>
    </row>
    <row r="89">
      <c r="A89" s="4">
        <f>IF(B89="","","Inc-Demo-"&amp;TEXT(ROW()-5,"0000"))</f>
        <v/>
      </c>
      <c r="B89" s="8" t="n"/>
      <c r="C89" s="9" t="n"/>
      <c r="N89" s="4">
        <f>IF(M89="","",VLOOKUP(M89,Parametres_SLA!$A$5:$B$8,2,FALSE))</f>
        <v/>
      </c>
      <c r="O89" s="5">
        <f>IF(B89="","",B89+C89+N89/24)</f>
        <v/>
      </c>
      <c r="R89" s="8" t="n"/>
      <c r="S89" s="7">
        <f>IF(B89="","",IF(R89&lt;&gt;"",(R89-(B89+C89))*24,(NOW()-(B89+C89))*24))</f>
        <v/>
      </c>
      <c r="T89" s="4">
        <f>IF(B89="","",IF(OR(Q89="Résolu",Q89="Clôturé"),IF(R89&lt;=O89,"Oui","Non"),IF(NOW()&lt;=O89,"En cours","En retard")))</f>
        <v/>
      </c>
    </row>
    <row r="90">
      <c r="A90" s="4">
        <f>IF(B90="","","Inc-Demo-"&amp;TEXT(ROW()-5,"0000"))</f>
        <v/>
      </c>
      <c r="B90" s="8" t="n"/>
      <c r="C90" s="9" t="n"/>
      <c r="N90" s="4">
        <f>IF(M90="","",VLOOKUP(M90,Parametres_SLA!$A$5:$B$8,2,FALSE))</f>
        <v/>
      </c>
      <c r="O90" s="5">
        <f>IF(B90="","",B90+C90+N90/24)</f>
        <v/>
      </c>
      <c r="R90" s="8" t="n"/>
      <c r="S90" s="7">
        <f>IF(B90="","",IF(R90&lt;&gt;"",(R90-(B90+C90))*24,(NOW()-(B90+C90))*24))</f>
        <v/>
      </c>
      <c r="T90" s="4">
        <f>IF(B90="","",IF(OR(Q90="Résolu",Q90="Clôturé"),IF(R90&lt;=O90,"Oui","Non"),IF(NOW()&lt;=O90,"En cours","En retard")))</f>
        <v/>
      </c>
    </row>
    <row r="91">
      <c r="A91" s="4">
        <f>IF(B91="","","Inc-Demo-"&amp;TEXT(ROW()-5,"0000"))</f>
        <v/>
      </c>
      <c r="B91" s="8" t="n"/>
      <c r="C91" s="9" t="n"/>
      <c r="N91" s="4">
        <f>IF(M91="","",VLOOKUP(M91,Parametres_SLA!$A$5:$B$8,2,FALSE))</f>
        <v/>
      </c>
      <c r="O91" s="5">
        <f>IF(B91="","",B91+C91+N91/24)</f>
        <v/>
      </c>
      <c r="R91" s="8" t="n"/>
      <c r="S91" s="7">
        <f>IF(B91="","",IF(R91&lt;&gt;"",(R91-(B91+C91))*24,(NOW()-(B91+C91))*24))</f>
        <v/>
      </c>
      <c r="T91" s="4">
        <f>IF(B91="","",IF(OR(Q91="Résolu",Q91="Clôturé"),IF(R91&lt;=O91,"Oui","Non"),IF(NOW()&lt;=O91,"En cours","En retard")))</f>
        <v/>
      </c>
    </row>
    <row r="92">
      <c r="A92" s="4">
        <f>IF(B92="","","Inc-Demo-"&amp;TEXT(ROW()-5,"0000"))</f>
        <v/>
      </c>
      <c r="B92" s="8" t="n"/>
      <c r="C92" s="9" t="n"/>
      <c r="N92" s="4">
        <f>IF(M92="","",VLOOKUP(M92,Parametres_SLA!$A$5:$B$8,2,FALSE))</f>
        <v/>
      </c>
      <c r="O92" s="5">
        <f>IF(B92="","",B92+C92+N92/24)</f>
        <v/>
      </c>
      <c r="R92" s="8" t="n"/>
      <c r="S92" s="7">
        <f>IF(B92="","",IF(R92&lt;&gt;"",(R92-(B92+C92))*24,(NOW()-(B92+C92))*24))</f>
        <v/>
      </c>
      <c r="T92" s="4">
        <f>IF(B92="","",IF(OR(Q92="Résolu",Q92="Clôturé"),IF(R92&lt;=O92,"Oui","Non"),IF(NOW()&lt;=O92,"En cours","En retard")))</f>
        <v/>
      </c>
    </row>
    <row r="93">
      <c r="A93" s="4">
        <f>IF(B93="","","Inc-Demo-"&amp;TEXT(ROW()-5,"0000"))</f>
        <v/>
      </c>
      <c r="B93" s="8" t="n"/>
      <c r="C93" s="9" t="n"/>
      <c r="N93" s="4">
        <f>IF(M93="","",VLOOKUP(M93,Parametres_SLA!$A$5:$B$8,2,FALSE))</f>
        <v/>
      </c>
      <c r="O93" s="5">
        <f>IF(B93="","",B93+C93+N93/24)</f>
        <v/>
      </c>
      <c r="R93" s="8" t="n"/>
      <c r="S93" s="7">
        <f>IF(B93="","",IF(R93&lt;&gt;"",(R93-(B93+C93))*24,(NOW()-(B93+C93))*24))</f>
        <v/>
      </c>
      <c r="T93" s="4">
        <f>IF(B93="","",IF(OR(Q93="Résolu",Q93="Clôturé"),IF(R93&lt;=O93,"Oui","Non"),IF(NOW()&lt;=O93,"En cours","En retard")))</f>
        <v/>
      </c>
    </row>
    <row r="94">
      <c r="A94" s="4">
        <f>IF(B94="","","Inc-Demo-"&amp;TEXT(ROW()-5,"0000"))</f>
        <v/>
      </c>
      <c r="B94" s="8" t="n"/>
      <c r="C94" s="9" t="n"/>
      <c r="N94" s="4">
        <f>IF(M94="","",VLOOKUP(M94,Parametres_SLA!$A$5:$B$8,2,FALSE))</f>
        <v/>
      </c>
      <c r="O94" s="5">
        <f>IF(B94="","",B94+C94+N94/24)</f>
        <v/>
      </c>
      <c r="R94" s="8" t="n"/>
      <c r="S94" s="7">
        <f>IF(B94="","",IF(R94&lt;&gt;"",(R94-(B94+C94))*24,(NOW()-(B94+C94))*24))</f>
        <v/>
      </c>
      <c r="T94" s="4">
        <f>IF(B94="","",IF(OR(Q94="Résolu",Q94="Clôturé"),IF(R94&lt;=O94,"Oui","Non"),IF(NOW()&lt;=O94,"En cours","En retard")))</f>
        <v/>
      </c>
    </row>
    <row r="95">
      <c r="A95" s="4">
        <f>IF(B95="","","Inc-Demo-"&amp;TEXT(ROW()-5,"0000"))</f>
        <v/>
      </c>
      <c r="B95" s="8" t="n"/>
      <c r="C95" s="9" t="n"/>
      <c r="N95" s="4">
        <f>IF(M95="","",VLOOKUP(M95,Parametres_SLA!$A$5:$B$8,2,FALSE))</f>
        <v/>
      </c>
      <c r="O95" s="5">
        <f>IF(B95="","",B95+C95+N95/24)</f>
        <v/>
      </c>
      <c r="R95" s="8" t="n"/>
      <c r="S95" s="7">
        <f>IF(B95="","",IF(R95&lt;&gt;"",(R95-(B95+C95))*24,(NOW()-(B95+C95))*24))</f>
        <v/>
      </c>
      <c r="T95" s="4">
        <f>IF(B95="","",IF(OR(Q95="Résolu",Q95="Clôturé"),IF(R95&lt;=O95,"Oui","Non"),IF(NOW()&lt;=O95,"En cours","En retard")))</f>
        <v/>
      </c>
    </row>
    <row r="96">
      <c r="A96" s="4">
        <f>IF(B96="","","Inc-Demo-"&amp;TEXT(ROW()-5,"0000"))</f>
        <v/>
      </c>
      <c r="B96" s="8" t="n"/>
      <c r="C96" s="9" t="n"/>
      <c r="N96" s="4">
        <f>IF(M96="","",VLOOKUP(M96,Parametres_SLA!$A$5:$B$8,2,FALSE))</f>
        <v/>
      </c>
      <c r="O96" s="5">
        <f>IF(B96="","",B96+C96+N96/24)</f>
        <v/>
      </c>
      <c r="R96" s="8" t="n"/>
      <c r="S96" s="7">
        <f>IF(B96="","",IF(R96&lt;&gt;"",(R96-(B96+C96))*24,(NOW()-(B96+C96))*24))</f>
        <v/>
      </c>
      <c r="T96" s="4">
        <f>IF(B96="","",IF(OR(Q96="Résolu",Q96="Clôturé"),IF(R96&lt;=O96,"Oui","Non"),IF(NOW()&lt;=O96,"En cours","En retard")))</f>
        <v/>
      </c>
    </row>
    <row r="97">
      <c r="A97" s="4">
        <f>IF(B97="","","Inc-Demo-"&amp;TEXT(ROW()-5,"0000"))</f>
        <v/>
      </c>
      <c r="B97" s="8" t="n"/>
      <c r="C97" s="9" t="n"/>
      <c r="N97" s="4">
        <f>IF(M97="","",VLOOKUP(M97,Parametres_SLA!$A$5:$B$8,2,FALSE))</f>
        <v/>
      </c>
      <c r="O97" s="5">
        <f>IF(B97="","",B97+C97+N97/24)</f>
        <v/>
      </c>
      <c r="R97" s="8" t="n"/>
      <c r="S97" s="7">
        <f>IF(B97="","",IF(R97&lt;&gt;"",(R97-(B97+C97))*24,(NOW()-(B97+C97))*24))</f>
        <v/>
      </c>
      <c r="T97" s="4">
        <f>IF(B97="","",IF(OR(Q97="Résolu",Q97="Clôturé"),IF(R97&lt;=O97,"Oui","Non"),IF(NOW()&lt;=O97,"En cours","En retard")))</f>
        <v/>
      </c>
    </row>
    <row r="98">
      <c r="A98" s="4">
        <f>IF(B98="","","Inc-Demo-"&amp;TEXT(ROW()-5,"0000"))</f>
        <v/>
      </c>
      <c r="B98" s="8" t="n"/>
      <c r="C98" s="9" t="n"/>
      <c r="N98" s="4">
        <f>IF(M98="","",VLOOKUP(M98,Parametres_SLA!$A$5:$B$8,2,FALSE))</f>
        <v/>
      </c>
      <c r="O98" s="5">
        <f>IF(B98="","",B98+C98+N98/24)</f>
        <v/>
      </c>
      <c r="R98" s="8" t="n"/>
      <c r="S98" s="7">
        <f>IF(B98="","",IF(R98&lt;&gt;"",(R98-(B98+C98))*24,(NOW()-(B98+C98))*24))</f>
        <v/>
      </c>
      <c r="T98" s="4">
        <f>IF(B98="","",IF(OR(Q98="Résolu",Q98="Clôturé"),IF(R98&lt;=O98,"Oui","Non"),IF(NOW()&lt;=O98,"En cours","En retard")))</f>
        <v/>
      </c>
    </row>
    <row r="99">
      <c r="A99" s="4">
        <f>IF(B99="","","Inc-Demo-"&amp;TEXT(ROW()-5,"0000"))</f>
        <v/>
      </c>
      <c r="B99" s="8" t="n"/>
      <c r="C99" s="9" t="n"/>
      <c r="N99" s="4">
        <f>IF(M99="","",VLOOKUP(M99,Parametres_SLA!$A$5:$B$8,2,FALSE))</f>
        <v/>
      </c>
      <c r="O99" s="5">
        <f>IF(B99="","",B99+C99+N99/24)</f>
        <v/>
      </c>
      <c r="R99" s="8" t="n"/>
      <c r="S99" s="7">
        <f>IF(B99="","",IF(R99&lt;&gt;"",(R99-(B99+C99))*24,(NOW()-(B99+C99))*24))</f>
        <v/>
      </c>
      <c r="T99" s="4">
        <f>IF(B99="","",IF(OR(Q99="Résolu",Q99="Clôturé"),IF(R99&lt;=O99,"Oui","Non"),IF(NOW()&lt;=O99,"En cours","En retard")))</f>
        <v/>
      </c>
    </row>
    <row r="100">
      <c r="A100" s="4">
        <f>IF(B100="","","Inc-Demo-"&amp;TEXT(ROW()-5,"0000"))</f>
        <v/>
      </c>
      <c r="B100" s="8" t="n"/>
      <c r="C100" s="9" t="n"/>
      <c r="N100" s="4">
        <f>IF(M100="","",VLOOKUP(M100,Parametres_SLA!$A$5:$B$8,2,FALSE))</f>
        <v/>
      </c>
      <c r="O100" s="5">
        <f>IF(B100="","",B100+C100+N100/24)</f>
        <v/>
      </c>
      <c r="R100" s="8" t="n"/>
      <c r="S100" s="7">
        <f>IF(B100="","",IF(R100&lt;&gt;"",(R100-(B100+C100))*24,(NOW()-(B100+C100))*24))</f>
        <v/>
      </c>
      <c r="T100" s="4">
        <f>IF(B100="","",IF(OR(Q100="Résolu",Q100="Clôturé"),IF(R100&lt;=O100,"Oui","Non"),IF(NOW()&lt;=O100,"En cours","En retard")))</f>
        <v/>
      </c>
    </row>
    <row r="101">
      <c r="A101" s="4">
        <f>IF(B101="","","Inc-Demo-"&amp;TEXT(ROW()-5,"0000"))</f>
        <v/>
      </c>
      <c r="B101" s="8" t="n"/>
      <c r="C101" s="9" t="n"/>
      <c r="N101" s="4">
        <f>IF(M101="","",VLOOKUP(M101,Parametres_SLA!$A$5:$B$8,2,FALSE))</f>
        <v/>
      </c>
      <c r="O101" s="5">
        <f>IF(B101="","",B101+C101+N101/24)</f>
        <v/>
      </c>
      <c r="R101" s="8" t="n"/>
      <c r="S101" s="7">
        <f>IF(B101="","",IF(R101&lt;&gt;"",(R101-(B101+C101))*24,(NOW()-(B101+C101))*24))</f>
        <v/>
      </c>
      <c r="T101" s="4">
        <f>IF(B101="","",IF(OR(Q101="Résolu",Q101="Clôturé"),IF(R101&lt;=O101,"Oui","Non"),IF(NOW()&lt;=O101,"En cours","En retard")))</f>
        <v/>
      </c>
    </row>
    <row r="102">
      <c r="A102" s="4">
        <f>IF(B102="","","Inc-Demo-"&amp;TEXT(ROW()-5,"0000"))</f>
        <v/>
      </c>
      <c r="B102" s="8" t="n"/>
      <c r="C102" s="9" t="n"/>
      <c r="N102" s="4">
        <f>IF(M102="","",VLOOKUP(M102,Parametres_SLA!$A$5:$B$8,2,FALSE))</f>
        <v/>
      </c>
      <c r="O102" s="5">
        <f>IF(B102="","",B102+C102+N102/24)</f>
        <v/>
      </c>
      <c r="R102" s="8" t="n"/>
      <c r="S102" s="7">
        <f>IF(B102="","",IF(R102&lt;&gt;"",(R102-(B102+C102))*24,(NOW()-(B102+C102))*24))</f>
        <v/>
      </c>
      <c r="T102" s="4">
        <f>IF(B102="","",IF(OR(Q102="Résolu",Q102="Clôturé"),IF(R102&lt;=O102,"Oui","Non"),IF(NOW()&lt;=O102,"En cours","En retard")))</f>
        <v/>
      </c>
    </row>
    <row r="103">
      <c r="A103" s="4">
        <f>IF(B103="","","Inc-Demo-"&amp;TEXT(ROW()-5,"0000"))</f>
        <v/>
      </c>
      <c r="B103" s="8" t="n"/>
      <c r="C103" s="9" t="n"/>
      <c r="N103" s="4">
        <f>IF(M103="","",VLOOKUP(M103,Parametres_SLA!$A$5:$B$8,2,FALSE))</f>
        <v/>
      </c>
      <c r="O103" s="5">
        <f>IF(B103="","",B103+C103+N103/24)</f>
        <v/>
      </c>
      <c r="R103" s="8" t="n"/>
      <c r="S103" s="7">
        <f>IF(B103="","",IF(R103&lt;&gt;"",(R103-(B103+C103))*24,(NOW()-(B103+C103))*24))</f>
        <v/>
      </c>
      <c r="T103" s="4">
        <f>IF(B103="","",IF(OR(Q103="Résolu",Q103="Clôturé"),IF(R103&lt;=O103,"Oui","Non"),IF(NOW()&lt;=O103,"En cours","En retard")))</f>
        <v/>
      </c>
    </row>
    <row r="104">
      <c r="A104" s="4">
        <f>IF(B104="","","Inc-Demo-"&amp;TEXT(ROW()-5,"0000"))</f>
        <v/>
      </c>
      <c r="B104" s="8" t="n"/>
      <c r="C104" s="9" t="n"/>
      <c r="N104" s="4">
        <f>IF(M104="","",VLOOKUP(M104,Parametres_SLA!$A$5:$B$8,2,FALSE))</f>
        <v/>
      </c>
      <c r="O104" s="5">
        <f>IF(B104="","",B104+C104+N104/24)</f>
        <v/>
      </c>
      <c r="R104" s="8" t="n"/>
      <c r="S104" s="7">
        <f>IF(B104="","",IF(R104&lt;&gt;"",(R104-(B104+C104))*24,(NOW()-(B104+C104))*24))</f>
        <v/>
      </c>
      <c r="T104" s="4">
        <f>IF(B104="","",IF(OR(Q104="Résolu",Q104="Clôturé"),IF(R104&lt;=O104,"Oui","Non"),IF(NOW()&lt;=O104,"En cours","En retard")))</f>
        <v/>
      </c>
    </row>
    <row r="105">
      <c r="A105" s="4">
        <f>IF(B105="","","Inc-Demo-"&amp;TEXT(ROW()-5,"0000"))</f>
        <v/>
      </c>
      <c r="B105" s="8" t="n"/>
      <c r="C105" s="9" t="n"/>
      <c r="N105" s="4">
        <f>IF(M105="","",VLOOKUP(M105,Parametres_SLA!$A$5:$B$8,2,FALSE))</f>
        <v/>
      </c>
      <c r="O105" s="5">
        <f>IF(B105="","",B105+C105+N105/24)</f>
        <v/>
      </c>
      <c r="R105" s="8" t="n"/>
      <c r="S105" s="7">
        <f>IF(B105="","",IF(R105&lt;&gt;"",(R105-(B105+C105))*24,(NOW()-(B105+C105))*24))</f>
        <v/>
      </c>
      <c r="T105" s="4">
        <f>IF(B105="","",IF(OR(Q105="Résolu",Q105="Clôturé"),IF(R105&lt;=O105,"Oui","Non"),IF(NOW()&lt;=O105,"En cours","En retard")))</f>
        <v/>
      </c>
    </row>
    <row r="106">
      <c r="A106" s="4">
        <f>IF(B106="","","Inc-Demo-"&amp;TEXT(ROW()-5,"0000"))</f>
        <v/>
      </c>
      <c r="B106" s="8" t="n"/>
      <c r="C106" s="9" t="n"/>
      <c r="N106" s="4">
        <f>IF(M106="","",VLOOKUP(M106,Parametres_SLA!$A$5:$B$8,2,FALSE))</f>
        <v/>
      </c>
      <c r="O106" s="5">
        <f>IF(B106="","",B106+C106+N106/24)</f>
        <v/>
      </c>
      <c r="R106" s="8" t="n"/>
      <c r="S106" s="7">
        <f>IF(B106="","",IF(R106&lt;&gt;"",(R106-(B106+C106))*24,(NOW()-(B106+C106))*24))</f>
        <v/>
      </c>
      <c r="T106" s="4">
        <f>IF(B106="","",IF(OR(Q106="Résolu",Q106="Clôturé"),IF(R106&lt;=O106,"Oui","Non"),IF(NOW()&lt;=O106,"En cours","En retard")))</f>
        <v/>
      </c>
    </row>
    <row r="107">
      <c r="A107" s="4">
        <f>IF(B107="","","Inc-Demo-"&amp;TEXT(ROW()-5,"0000"))</f>
        <v/>
      </c>
      <c r="B107" s="8" t="n"/>
      <c r="C107" s="9" t="n"/>
      <c r="N107" s="4">
        <f>IF(M107="","",VLOOKUP(M107,Parametres_SLA!$A$5:$B$8,2,FALSE))</f>
        <v/>
      </c>
      <c r="O107" s="5">
        <f>IF(B107="","",B107+C107+N107/24)</f>
        <v/>
      </c>
      <c r="R107" s="8" t="n"/>
      <c r="S107" s="7">
        <f>IF(B107="","",IF(R107&lt;&gt;"",(R107-(B107+C107))*24,(NOW()-(B107+C107))*24))</f>
        <v/>
      </c>
      <c r="T107" s="4">
        <f>IF(B107="","",IF(OR(Q107="Résolu",Q107="Clôturé"),IF(R107&lt;=O107,"Oui","Non"),IF(NOW()&lt;=O107,"En cours","En retard")))</f>
        <v/>
      </c>
    </row>
    <row r="108">
      <c r="A108" s="4">
        <f>IF(B108="","","Inc-Demo-"&amp;TEXT(ROW()-5,"0000"))</f>
        <v/>
      </c>
      <c r="B108" s="8" t="n"/>
      <c r="C108" s="9" t="n"/>
      <c r="N108" s="4">
        <f>IF(M108="","",VLOOKUP(M108,Parametres_SLA!$A$5:$B$8,2,FALSE))</f>
        <v/>
      </c>
      <c r="O108" s="5">
        <f>IF(B108="","",B108+C108+N108/24)</f>
        <v/>
      </c>
      <c r="R108" s="8" t="n"/>
      <c r="S108" s="7">
        <f>IF(B108="","",IF(R108&lt;&gt;"",(R108-(B108+C108))*24,(NOW()-(B108+C108))*24))</f>
        <v/>
      </c>
      <c r="T108" s="4">
        <f>IF(B108="","",IF(OR(Q108="Résolu",Q108="Clôturé"),IF(R108&lt;=O108,"Oui","Non"),IF(NOW()&lt;=O108,"En cours","En retard")))</f>
        <v/>
      </c>
    </row>
    <row r="109">
      <c r="A109" s="4">
        <f>IF(B109="","","Inc-Demo-"&amp;TEXT(ROW()-5,"0000"))</f>
        <v/>
      </c>
      <c r="B109" s="8" t="n"/>
      <c r="C109" s="9" t="n"/>
      <c r="N109" s="4">
        <f>IF(M109="","",VLOOKUP(M109,Parametres_SLA!$A$5:$B$8,2,FALSE))</f>
        <v/>
      </c>
      <c r="O109" s="5">
        <f>IF(B109="","",B109+C109+N109/24)</f>
        <v/>
      </c>
      <c r="R109" s="8" t="n"/>
      <c r="S109" s="7">
        <f>IF(B109="","",IF(R109&lt;&gt;"",(R109-(B109+C109))*24,(NOW()-(B109+C109))*24))</f>
        <v/>
      </c>
      <c r="T109" s="4">
        <f>IF(B109="","",IF(OR(Q109="Résolu",Q109="Clôturé"),IF(R109&lt;=O109,"Oui","Non"),IF(NOW()&lt;=O109,"En cours","En retard")))</f>
        <v/>
      </c>
    </row>
    <row r="110">
      <c r="A110" s="4">
        <f>IF(B110="","","Inc-Demo-"&amp;TEXT(ROW()-5,"0000"))</f>
        <v/>
      </c>
      <c r="B110" s="8" t="n"/>
      <c r="C110" s="9" t="n"/>
      <c r="N110" s="4">
        <f>IF(M110="","",VLOOKUP(M110,Parametres_SLA!$A$5:$B$8,2,FALSE))</f>
        <v/>
      </c>
      <c r="O110" s="5">
        <f>IF(B110="","",B110+C110+N110/24)</f>
        <v/>
      </c>
      <c r="R110" s="8" t="n"/>
      <c r="S110" s="7">
        <f>IF(B110="","",IF(R110&lt;&gt;"",(R110-(B110+C110))*24,(NOW()-(B110+C110))*24))</f>
        <v/>
      </c>
      <c r="T110" s="4">
        <f>IF(B110="","",IF(OR(Q110="Résolu",Q110="Clôturé"),IF(R110&lt;=O110,"Oui","Non"),IF(NOW()&lt;=O110,"En cours","En retard")))</f>
        <v/>
      </c>
    </row>
    <row r="111">
      <c r="A111" s="4">
        <f>IF(B111="","","Inc-Demo-"&amp;TEXT(ROW()-5,"0000"))</f>
        <v/>
      </c>
      <c r="B111" s="8" t="n"/>
      <c r="C111" s="9" t="n"/>
      <c r="N111" s="4">
        <f>IF(M111="","",VLOOKUP(M111,Parametres_SLA!$A$5:$B$8,2,FALSE))</f>
        <v/>
      </c>
      <c r="O111" s="5">
        <f>IF(B111="","",B111+C111+N111/24)</f>
        <v/>
      </c>
      <c r="R111" s="8" t="n"/>
      <c r="S111" s="7">
        <f>IF(B111="","",IF(R111&lt;&gt;"",(R111-(B111+C111))*24,(NOW()-(B111+C111))*24))</f>
        <v/>
      </c>
      <c r="T111" s="4">
        <f>IF(B111="","",IF(OR(Q111="Résolu",Q111="Clôturé"),IF(R111&lt;=O111,"Oui","Non"),IF(NOW()&lt;=O111,"En cours","En retard")))</f>
        <v/>
      </c>
    </row>
    <row r="112">
      <c r="A112" s="4">
        <f>IF(B112="","","Inc-Demo-"&amp;TEXT(ROW()-5,"0000"))</f>
        <v/>
      </c>
      <c r="B112" s="8" t="n"/>
      <c r="C112" s="9" t="n"/>
      <c r="N112" s="4">
        <f>IF(M112="","",VLOOKUP(M112,Parametres_SLA!$A$5:$B$8,2,FALSE))</f>
        <v/>
      </c>
      <c r="O112" s="5">
        <f>IF(B112="","",B112+C112+N112/24)</f>
        <v/>
      </c>
      <c r="R112" s="8" t="n"/>
      <c r="S112" s="7">
        <f>IF(B112="","",IF(R112&lt;&gt;"",(R112-(B112+C112))*24,(NOW()-(B112+C112))*24))</f>
        <v/>
      </c>
      <c r="T112" s="4">
        <f>IF(B112="","",IF(OR(Q112="Résolu",Q112="Clôturé"),IF(R112&lt;=O112,"Oui","Non"),IF(NOW()&lt;=O112,"En cours","En retard")))</f>
        <v/>
      </c>
    </row>
    <row r="113">
      <c r="A113" s="4">
        <f>IF(B113="","","Inc-Demo-"&amp;TEXT(ROW()-5,"0000"))</f>
        <v/>
      </c>
      <c r="B113" s="8" t="n"/>
      <c r="C113" s="9" t="n"/>
      <c r="N113" s="4">
        <f>IF(M113="","",VLOOKUP(M113,Parametres_SLA!$A$5:$B$8,2,FALSE))</f>
        <v/>
      </c>
      <c r="O113" s="5">
        <f>IF(B113="","",B113+C113+N113/24)</f>
        <v/>
      </c>
      <c r="R113" s="8" t="n"/>
      <c r="S113" s="7">
        <f>IF(B113="","",IF(R113&lt;&gt;"",(R113-(B113+C113))*24,(NOW()-(B113+C113))*24))</f>
        <v/>
      </c>
      <c r="T113" s="4">
        <f>IF(B113="","",IF(OR(Q113="Résolu",Q113="Clôturé"),IF(R113&lt;=O113,"Oui","Non"),IF(NOW()&lt;=O113,"En cours","En retard")))</f>
        <v/>
      </c>
    </row>
    <row r="114">
      <c r="A114" s="4">
        <f>IF(B114="","","Inc-Demo-"&amp;TEXT(ROW()-5,"0000"))</f>
        <v/>
      </c>
      <c r="B114" s="8" t="n"/>
      <c r="C114" s="9" t="n"/>
      <c r="N114" s="4">
        <f>IF(M114="","",VLOOKUP(M114,Parametres_SLA!$A$5:$B$8,2,FALSE))</f>
        <v/>
      </c>
      <c r="O114" s="5">
        <f>IF(B114="","",B114+C114+N114/24)</f>
        <v/>
      </c>
      <c r="R114" s="8" t="n"/>
      <c r="S114" s="7">
        <f>IF(B114="","",IF(R114&lt;&gt;"",(R114-(B114+C114))*24,(NOW()-(B114+C114))*24))</f>
        <v/>
      </c>
      <c r="T114" s="4">
        <f>IF(B114="","",IF(OR(Q114="Résolu",Q114="Clôturé"),IF(R114&lt;=O114,"Oui","Non"),IF(NOW()&lt;=O114,"En cours","En retard")))</f>
        <v/>
      </c>
    </row>
    <row r="115">
      <c r="A115" s="4">
        <f>IF(B115="","","Inc-Demo-"&amp;TEXT(ROW()-5,"0000"))</f>
        <v/>
      </c>
      <c r="B115" s="8" t="n"/>
      <c r="C115" s="9" t="n"/>
      <c r="N115" s="4">
        <f>IF(M115="","",VLOOKUP(M115,Parametres_SLA!$A$5:$B$8,2,FALSE))</f>
        <v/>
      </c>
      <c r="O115" s="5">
        <f>IF(B115="","",B115+C115+N115/24)</f>
        <v/>
      </c>
      <c r="R115" s="8" t="n"/>
      <c r="S115" s="7">
        <f>IF(B115="","",IF(R115&lt;&gt;"",(R115-(B115+C115))*24,(NOW()-(B115+C115))*24))</f>
        <v/>
      </c>
      <c r="T115" s="4">
        <f>IF(B115="","",IF(OR(Q115="Résolu",Q115="Clôturé"),IF(R115&lt;=O115,"Oui","Non"),IF(NOW()&lt;=O115,"En cours","En retard")))</f>
        <v/>
      </c>
    </row>
    <row r="116">
      <c r="A116" s="4">
        <f>IF(B116="","","Inc-Demo-"&amp;TEXT(ROW()-5,"0000"))</f>
        <v/>
      </c>
      <c r="B116" s="8" t="n"/>
      <c r="C116" s="9" t="n"/>
      <c r="N116" s="4">
        <f>IF(M116="","",VLOOKUP(M116,Parametres_SLA!$A$5:$B$8,2,FALSE))</f>
        <v/>
      </c>
      <c r="O116" s="5">
        <f>IF(B116="","",B116+C116+N116/24)</f>
        <v/>
      </c>
      <c r="R116" s="8" t="n"/>
      <c r="S116" s="7">
        <f>IF(B116="","",IF(R116&lt;&gt;"",(R116-(B116+C116))*24,(NOW()-(B116+C116))*24))</f>
        <v/>
      </c>
      <c r="T116" s="4">
        <f>IF(B116="","",IF(OR(Q116="Résolu",Q116="Clôturé"),IF(R116&lt;=O116,"Oui","Non"),IF(NOW()&lt;=O116,"En cours","En retard")))</f>
        <v/>
      </c>
    </row>
    <row r="117">
      <c r="A117" s="4">
        <f>IF(B117="","","Inc-Demo-"&amp;TEXT(ROW()-5,"0000"))</f>
        <v/>
      </c>
      <c r="B117" s="8" t="n"/>
      <c r="C117" s="9" t="n"/>
      <c r="N117" s="4">
        <f>IF(M117="","",VLOOKUP(M117,Parametres_SLA!$A$5:$B$8,2,FALSE))</f>
        <v/>
      </c>
      <c r="O117" s="5">
        <f>IF(B117="","",B117+C117+N117/24)</f>
        <v/>
      </c>
      <c r="R117" s="8" t="n"/>
      <c r="S117" s="7">
        <f>IF(B117="","",IF(R117&lt;&gt;"",(R117-(B117+C117))*24,(NOW()-(B117+C117))*24))</f>
        <v/>
      </c>
      <c r="T117" s="4">
        <f>IF(B117="","",IF(OR(Q117="Résolu",Q117="Clôturé"),IF(R117&lt;=O117,"Oui","Non"),IF(NOW()&lt;=O117,"En cours","En retard")))</f>
        <v/>
      </c>
    </row>
    <row r="118">
      <c r="A118" s="4">
        <f>IF(B118="","","Inc-Demo-"&amp;TEXT(ROW()-5,"0000"))</f>
        <v/>
      </c>
      <c r="B118" s="8" t="n"/>
      <c r="C118" s="9" t="n"/>
      <c r="N118" s="4">
        <f>IF(M118="","",VLOOKUP(M118,Parametres_SLA!$A$5:$B$8,2,FALSE))</f>
        <v/>
      </c>
      <c r="O118" s="5">
        <f>IF(B118="","",B118+C118+N118/24)</f>
        <v/>
      </c>
      <c r="R118" s="8" t="n"/>
      <c r="S118" s="7">
        <f>IF(B118="","",IF(R118&lt;&gt;"",(R118-(B118+C118))*24,(NOW()-(B118+C118))*24))</f>
        <v/>
      </c>
      <c r="T118" s="4">
        <f>IF(B118="","",IF(OR(Q118="Résolu",Q118="Clôturé"),IF(R118&lt;=O118,"Oui","Non"),IF(NOW()&lt;=O118,"En cours","En retard")))</f>
        <v/>
      </c>
    </row>
    <row r="119">
      <c r="A119" s="4">
        <f>IF(B119="","","Inc-Demo-"&amp;TEXT(ROW()-5,"0000"))</f>
        <v/>
      </c>
      <c r="B119" s="8" t="n"/>
      <c r="C119" s="9" t="n"/>
      <c r="N119" s="4">
        <f>IF(M119="","",VLOOKUP(M119,Parametres_SLA!$A$5:$B$8,2,FALSE))</f>
        <v/>
      </c>
      <c r="O119" s="5">
        <f>IF(B119="","",B119+C119+N119/24)</f>
        <v/>
      </c>
      <c r="R119" s="8" t="n"/>
      <c r="S119" s="7">
        <f>IF(B119="","",IF(R119&lt;&gt;"",(R119-(B119+C119))*24,(NOW()-(B119+C119))*24))</f>
        <v/>
      </c>
      <c r="T119" s="4">
        <f>IF(B119="","",IF(OR(Q119="Résolu",Q119="Clôturé"),IF(R119&lt;=O119,"Oui","Non"),IF(NOW()&lt;=O119,"En cours","En retard")))</f>
        <v/>
      </c>
    </row>
    <row r="120">
      <c r="A120" s="4">
        <f>IF(B120="","","Inc-Demo-"&amp;TEXT(ROW()-5,"0000"))</f>
        <v/>
      </c>
      <c r="B120" s="8" t="n"/>
      <c r="C120" s="9" t="n"/>
      <c r="N120" s="4">
        <f>IF(M120="","",VLOOKUP(M120,Parametres_SLA!$A$5:$B$8,2,FALSE))</f>
        <v/>
      </c>
      <c r="O120" s="5">
        <f>IF(B120="","",B120+C120+N120/24)</f>
        <v/>
      </c>
      <c r="R120" s="8" t="n"/>
      <c r="S120" s="7">
        <f>IF(B120="","",IF(R120&lt;&gt;"",(R120-(B120+C120))*24,(NOW()-(B120+C120))*24))</f>
        <v/>
      </c>
      <c r="T120" s="4">
        <f>IF(B120="","",IF(OR(Q120="Résolu",Q120="Clôturé"),IF(R120&lt;=O120,"Oui","Non"),IF(NOW()&lt;=O120,"En cours","En retard")))</f>
        <v/>
      </c>
    </row>
    <row r="121">
      <c r="A121" s="4">
        <f>IF(B121="","","Inc-Demo-"&amp;TEXT(ROW()-5,"0000"))</f>
        <v/>
      </c>
      <c r="B121" s="8" t="n"/>
      <c r="C121" s="9" t="n"/>
      <c r="N121" s="4">
        <f>IF(M121="","",VLOOKUP(M121,Parametres_SLA!$A$5:$B$8,2,FALSE))</f>
        <v/>
      </c>
      <c r="O121" s="5">
        <f>IF(B121="","",B121+C121+N121/24)</f>
        <v/>
      </c>
      <c r="R121" s="8" t="n"/>
      <c r="S121" s="7">
        <f>IF(B121="","",IF(R121&lt;&gt;"",(R121-(B121+C121))*24,(NOW()-(B121+C121))*24))</f>
        <v/>
      </c>
      <c r="T121" s="4">
        <f>IF(B121="","",IF(OR(Q121="Résolu",Q121="Clôturé"),IF(R121&lt;=O121,"Oui","Non"),IF(NOW()&lt;=O121,"En cours","En retard")))</f>
        <v/>
      </c>
    </row>
    <row r="122">
      <c r="A122" s="4">
        <f>IF(B122="","","Inc-Demo-"&amp;TEXT(ROW()-5,"0000"))</f>
        <v/>
      </c>
      <c r="B122" s="8" t="n"/>
      <c r="C122" s="9" t="n"/>
      <c r="N122" s="4">
        <f>IF(M122="","",VLOOKUP(M122,Parametres_SLA!$A$5:$B$8,2,FALSE))</f>
        <v/>
      </c>
      <c r="O122" s="5">
        <f>IF(B122="","",B122+C122+N122/24)</f>
        <v/>
      </c>
      <c r="R122" s="8" t="n"/>
      <c r="S122" s="7">
        <f>IF(B122="","",IF(R122&lt;&gt;"",(R122-(B122+C122))*24,(NOW()-(B122+C122))*24))</f>
        <v/>
      </c>
      <c r="T122" s="4">
        <f>IF(B122="","",IF(OR(Q122="Résolu",Q122="Clôturé"),IF(R122&lt;=O122,"Oui","Non"),IF(NOW()&lt;=O122,"En cours","En retard")))</f>
        <v/>
      </c>
    </row>
    <row r="123">
      <c r="A123" s="4">
        <f>IF(B123="","","Inc-Demo-"&amp;TEXT(ROW()-5,"0000"))</f>
        <v/>
      </c>
      <c r="B123" s="8" t="n"/>
      <c r="C123" s="9" t="n"/>
      <c r="N123" s="4">
        <f>IF(M123="","",VLOOKUP(M123,Parametres_SLA!$A$5:$B$8,2,FALSE))</f>
        <v/>
      </c>
      <c r="O123" s="5">
        <f>IF(B123="","",B123+C123+N123/24)</f>
        <v/>
      </c>
      <c r="R123" s="8" t="n"/>
      <c r="S123" s="7">
        <f>IF(B123="","",IF(R123&lt;&gt;"",(R123-(B123+C123))*24,(NOW()-(B123+C123))*24))</f>
        <v/>
      </c>
      <c r="T123" s="4">
        <f>IF(B123="","",IF(OR(Q123="Résolu",Q123="Clôturé"),IF(R123&lt;=O123,"Oui","Non"),IF(NOW()&lt;=O123,"En cours","En retard")))</f>
        <v/>
      </c>
    </row>
    <row r="124">
      <c r="A124" s="4">
        <f>IF(B124="","","Inc-Demo-"&amp;TEXT(ROW()-5,"0000"))</f>
        <v/>
      </c>
      <c r="B124" s="8" t="n"/>
      <c r="C124" s="9" t="n"/>
      <c r="N124" s="4">
        <f>IF(M124="","",VLOOKUP(M124,Parametres_SLA!$A$5:$B$8,2,FALSE))</f>
        <v/>
      </c>
      <c r="O124" s="5">
        <f>IF(B124="","",B124+C124+N124/24)</f>
        <v/>
      </c>
      <c r="R124" s="8" t="n"/>
      <c r="S124" s="7">
        <f>IF(B124="","",IF(R124&lt;&gt;"",(R124-(B124+C124))*24,(NOW()-(B124+C124))*24))</f>
        <v/>
      </c>
      <c r="T124" s="4">
        <f>IF(B124="","",IF(OR(Q124="Résolu",Q124="Clôturé"),IF(R124&lt;=O124,"Oui","Non"),IF(NOW()&lt;=O124,"En cours","En retard")))</f>
        <v/>
      </c>
    </row>
    <row r="125">
      <c r="A125" s="4">
        <f>IF(B125="","","Inc-Demo-"&amp;TEXT(ROW()-5,"0000"))</f>
        <v/>
      </c>
      <c r="B125" s="8" t="n"/>
      <c r="C125" s="9" t="n"/>
      <c r="N125" s="4">
        <f>IF(M125="","",VLOOKUP(M125,Parametres_SLA!$A$5:$B$8,2,FALSE))</f>
        <v/>
      </c>
      <c r="O125" s="5">
        <f>IF(B125="","",B125+C125+N125/24)</f>
        <v/>
      </c>
      <c r="R125" s="8" t="n"/>
      <c r="S125" s="7">
        <f>IF(B125="","",IF(R125&lt;&gt;"",(R125-(B125+C125))*24,(NOW()-(B125+C125))*24))</f>
        <v/>
      </c>
      <c r="T125" s="4">
        <f>IF(B125="","",IF(OR(Q125="Résolu",Q125="Clôturé"),IF(R125&lt;=O125,"Oui","Non"),IF(NOW()&lt;=O125,"En cours","En retard")))</f>
        <v/>
      </c>
    </row>
    <row r="126">
      <c r="A126" s="4">
        <f>IF(B126="","","Inc-Demo-"&amp;TEXT(ROW()-5,"0000"))</f>
        <v/>
      </c>
      <c r="B126" s="8" t="n"/>
      <c r="C126" s="9" t="n"/>
      <c r="N126" s="4">
        <f>IF(M126="","",VLOOKUP(M126,Parametres_SLA!$A$5:$B$8,2,FALSE))</f>
        <v/>
      </c>
      <c r="O126" s="5">
        <f>IF(B126="","",B126+C126+N126/24)</f>
        <v/>
      </c>
      <c r="R126" s="8" t="n"/>
      <c r="S126" s="7">
        <f>IF(B126="","",IF(R126&lt;&gt;"",(R126-(B126+C126))*24,(NOW()-(B126+C126))*24))</f>
        <v/>
      </c>
      <c r="T126" s="4">
        <f>IF(B126="","",IF(OR(Q126="Résolu",Q126="Clôturé"),IF(R126&lt;=O126,"Oui","Non"),IF(NOW()&lt;=O126,"En cours","En retard")))</f>
        <v/>
      </c>
    </row>
    <row r="127">
      <c r="A127" s="4">
        <f>IF(B127="","","Inc-Demo-"&amp;TEXT(ROW()-5,"0000"))</f>
        <v/>
      </c>
      <c r="B127" s="8" t="n"/>
      <c r="C127" s="9" t="n"/>
      <c r="N127" s="4">
        <f>IF(M127="","",VLOOKUP(M127,Parametres_SLA!$A$5:$B$8,2,FALSE))</f>
        <v/>
      </c>
      <c r="O127" s="5">
        <f>IF(B127="","",B127+C127+N127/24)</f>
        <v/>
      </c>
      <c r="R127" s="8" t="n"/>
      <c r="S127" s="7">
        <f>IF(B127="","",IF(R127&lt;&gt;"",(R127-(B127+C127))*24,(NOW()-(B127+C127))*24))</f>
        <v/>
      </c>
      <c r="T127" s="4">
        <f>IF(B127="","",IF(OR(Q127="Résolu",Q127="Clôturé"),IF(R127&lt;=O127,"Oui","Non"),IF(NOW()&lt;=O127,"En cours","En retard")))</f>
        <v/>
      </c>
    </row>
    <row r="128">
      <c r="A128" s="4">
        <f>IF(B128="","","Inc-Demo-"&amp;TEXT(ROW()-5,"0000"))</f>
        <v/>
      </c>
      <c r="B128" s="8" t="n"/>
      <c r="C128" s="9" t="n"/>
      <c r="N128" s="4">
        <f>IF(M128="","",VLOOKUP(M128,Parametres_SLA!$A$5:$B$8,2,FALSE))</f>
        <v/>
      </c>
      <c r="O128" s="5">
        <f>IF(B128="","",B128+C128+N128/24)</f>
        <v/>
      </c>
      <c r="R128" s="8" t="n"/>
      <c r="S128" s="7">
        <f>IF(B128="","",IF(R128&lt;&gt;"",(R128-(B128+C128))*24,(NOW()-(B128+C128))*24))</f>
        <v/>
      </c>
      <c r="T128" s="4">
        <f>IF(B128="","",IF(OR(Q128="Résolu",Q128="Clôturé"),IF(R128&lt;=O128,"Oui","Non"),IF(NOW()&lt;=O128,"En cours","En retard")))</f>
        <v/>
      </c>
    </row>
    <row r="129">
      <c r="A129" s="4">
        <f>IF(B129="","","Inc-Demo-"&amp;TEXT(ROW()-5,"0000"))</f>
        <v/>
      </c>
      <c r="B129" s="8" t="n"/>
      <c r="C129" s="9" t="n"/>
      <c r="N129" s="4">
        <f>IF(M129="","",VLOOKUP(M129,Parametres_SLA!$A$5:$B$8,2,FALSE))</f>
        <v/>
      </c>
      <c r="O129" s="5">
        <f>IF(B129="","",B129+C129+N129/24)</f>
        <v/>
      </c>
      <c r="R129" s="8" t="n"/>
      <c r="S129" s="7">
        <f>IF(B129="","",IF(R129&lt;&gt;"",(R129-(B129+C129))*24,(NOW()-(B129+C129))*24))</f>
        <v/>
      </c>
      <c r="T129" s="4">
        <f>IF(B129="","",IF(OR(Q129="Résolu",Q129="Clôturé"),IF(R129&lt;=O129,"Oui","Non"),IF(NOW()&lt;=O129,"En cours","En retard")))</f>
        <v/>
      </c>
    </row>
    <row r="130">
      <c r="A130" s="4">
        <f>IF(B130="","","Inc-Demo-"&amp;TEXT(ROW()-5,"0000"))</f>
        <v/>
      </c>
      <c r="B130" s="8" t="n"/>
      <c r="C130" s="9" t="n"/>
      <c r="N130" s="4">
        <f>IF(M130="","",VLOOKUP(M130,Parametres_SLA!$A$5:$B$8,2,FALSE))</f>
        <v/>
      </c>
      <c r="O130" s="5">
        <f>IF(B130="","",B130+C130+N130/24)</f>
        <v/>
      </c>
      <c r="R130" s="8" t="n"/>
      <c r="S130" s="7">
        <f>IF(B130="","",IF(R130&lt;&gt;"",(R130-(B130+C130))*24,(NOW()-(B130+C130))*24))</f>
        <v/>
      </c>
      <c r="T130" s="4">
        <f>IF(B130="","",IF(OR(Q130="Résolu",Q130="Clôturé"),IF(R130&lt;=O130,"Oui","Non"),IF(NOW()&lt;=O130,"En cours","En retard")))</f>
        <v/>
      </c>
    </row>
    <row r="131">
      <c r="A131" s="4">
        <f>IF(B131="","","Inc-Demo-"&amp;TEXT(ROW()-5,"0000"))</f>
        <v/>
      </c>
      <c r="B131" s="8" t="n"/>
      <c r="C131" s="9" t="n"/>
      <c r="N131" s="4">
        <f>IF(M131="","",VLOOKUP(M131,Parametres_SLA!$A$5:$B$8,2,FALSE))</f>
        <v/>
      </c>
      <c r="O131" s="5">
        <f>IF(B131="","",B131+C131+N131/24)</f>
        <v/>
      </c>
      <c r="R131" s="8" t="n"/>
      <c r="S131" s="7">
        <f>IF(B131="","",IF(R131&lt;&gt;"",(R131-(B131+C131))*24,(NOW()-(B131+C131))*24))</f>
        <v/>
      </c>
      <c r="T131" s="4">
        <f>IF(B131="","",IF(OR(Q131="Résolu",Q131="Clôturé"),IF(R131&lt;=O131,"Oui","Non"),IF(NOW()&lt;=O131,"En cours","En retard")))</f>
        <v/>
      </c>
    </row>
    <row r="132">
      <c r="A132" s="4">
        <f>IF(B132="","","Inc-Demo-"&amp;TEXT(ROW()-5,"0000"))</f>
        <v/>
      </c>
      <c r="B132" s="8" t="n"/>
      <c r="C132" s="9" t="n"/>
      <c r="N132" s="4">
        <f>IF(M132="","",VLOOKUP(M132,Parametres_SLA!$A$5:$B$8,2,FALSE))</f>
        <v/>
      </c>
      <c r="O132" s="5">
        <f>IF(B132="","",B132+C132+N132/24)</f>
        <v/>
      </c>
      <c r="R132" s="8" t="n"/>
      <c r="S132" s="7">
        <f>IF(B132="","",IF(R132&lt;&gt;"",(R132-(B132+C132))*24,(NOW()-(B132+C132))*24))</f>
        <v/>
      </c>
      <c r="T132" s="4">
        <f>IF(B132="","",IF(OR(Q132="Résolu",Q132="Clôturé"),IF(R132&lt;=O132,"Oui","Non"),IF(NOW()&lt;=O132,"En cours","En retard")))</f>
        <v/>
      </c>
    </row>
    <row r="133">
      <c r="A133" s="4">
        <f>IF(B133="","","Inc-Demo-"&amp;TEXT(ROW()-5,"0000"))</f>
        <v/>
      </c>
      <c r="B133" s="8" t="n"/>
      <c r="C133" s="9" t="n"/>
      <c r="N133" s="4">
        <f>IF(M133="","",VLOOKUP(M133,Parametres_SLA!$A$5:$B$8,2,FALSE))</f>
        <v/>
      </c>
      <c r="O133" s="5">
        <f>IF(B133="","",B133+C133+N133/24)</f>
        <v/>
      </c>
      <c r="R133" s="8" t="n"/>
      <c r="S133" s="7">
        <f>IF(B133="","",IF(R133&lt;&gt;"",(R133-(B133+C133))*24,(NOW()-(B133+C133))*24))</f>
        <v/>
      </c>
      <c r="T133" s="4">
        <f>IF(B133="","",IF(OR(Q133="Résolu",Q133="Clôturé"),IF(R133&lt;=O133,"Oui","Non"),IF(NOW()&lt;=O133,"En cours","En retard")))</f>
        <v/>
      </c>
    </row>
    <row r="134">
      <c r="A134" s="4">
        <f>IF(B134="","","Inc-Demo-"&amp;TEXT(ROW()-5,"0000"))</f>
        <v/>
      </c>
      <c r="B134" s="8" t="n"/>
      <c r="C134" s="9" t="n"/>
      <c r="N134" s="4">
        <f>IF(M134="","",VLOOKUP(M134,Parametres_SLA!$A$5:$B$8,2,FALSE))</f>
        <v/>
      </c>
      <c r="O134" s="5">
        <f>IF(B134="","",B134+C134+N134/24)</f>
        <v/>
      </c>
      <c r="R134" s="8" t="n"/>
      <c r="S134" s="7">
        <f>IF(B134="","",IF(R134&lt;&gt;"",(R134-(B134+C134))*24,(NOW()-(B134+C134))*24))</f>
        <v/>
      </c>
      <c r="T134" s="4">
        <f>IF(B134="","",IF(OR(Q134="Résolu",Q134="Clôturé"),IF(R134&lt;=O134,"Oui","Non"),IF(NOW()&lt;=O134,"En cours","En retard")))</f>
        <v/>
      </c>
    </row>
    <row r="135">
      <c r="A135" s="4">
        <f>IF(B135="","","Inc-Demo-"&amp;TEXT(ROW()-5,"0000"))</f>
        <v/>
      </c>
      <c r="B135" s="8" t="n"/>
      <c r="C135" s="9" t="n"/>
      <c r="N135" s="4">
        <f>IF(M135="","",VLOOKUP(M135,Parametres_SLA!$A$5:$B$8,2,FALSE))</f>
        <v/>
      </c>
      <c r="O135" s="5">
        <f>IF(B135="","",B135+C135+N135/24)</f>
        <v/>
      </c>
      <c r="R135" s="8" t="n"/>
      <c r="S135" s="7">
        <f>IF(B135="","",IF(R135&lt;&gt;"",(R135-(B135+C135))*24,(NOW()-(B135+C135))*24))</f>
        <v/>
      </c>
      <c r="T135" s="4">
        <f>IF(B135="","",IF(OR(Q135="Résolu",Q135="Clôturé"),IF(R135&lt;=O135,"Oui","Non"),IF(NOW()&lt;=O135,"En cours","En retard")))</f>
        <v/>
      </c>
    </row>
    <row r="136">
      <c r="A136" s="4">
        <f>IF(B136="","","Inc-Demo-"&amp;TEXT(ROW()-5,"0000"))</f>
        <v/>
      </c>
      <c r="B136" s="8" t="n"/>
      <c r="C136" s="9" t="n"/>
      <c r="N136" s="4">
        <f>IF(M136="","",VLOOKUP(M136,Parametres_SLA!$A$5:$B$8,2,FALSE))</f>
        <v/>
      </c>
      <c r="O136" s="5">
        <f>IF(B136="","",B136+C136+N136/24)</f>
        <v/>
      </c>
      <c r="R136" s="8" t="n"/>
      <c r="S136" s="7">
        <f>IF(B136="","",IF(R136&lt;&gt;"",(R136-(B136+C136))*24,(NOW()-(B136+C136))*24))</f>
        <v/>
      </c>
      <c r="T136" s="4">
        <f>IF(B136="","",IF(OR(Q136="Résolu",Q136="Clôturé"),IF(R136&lt;=O136,"Oui","Non"),IF(NOW()&lt;=O136,"En cours","En retard")))</f>
        <v/>
      </c>
    </row>
    <row r="137">
      <c r="A137" s="4">
        <f>IF(B137="","","Inc-Demo-"&amp;TEXT(ROW()-5,"0000"))</f>
        <v/>
      </c>
      <c r="B137" s="8" t="n"/>
      <c r="C137" s="9" t="n"/>
      <c r="N137" s="4">
        <f>IF(M137="","",VLOOKUP(M137,Parametres_SLA!$A$5:$B$8,2,FALSE))</f>
        <v/>
      </c>
      <c r="O137" s="5">
        <f>IF(B137="","",B137+C137+N137/24)</f>
        <v/>
      </c>
      <c r="R137" s="8" t="n"/>
      <c r="S137" s="7">
        <f>IF(B137="","",IF(R137&lt;&gt;"",(R137-(B137+C137))*24,(NOW()-(B137+C137))*24))</f>
        <v/>
      </c>
      <c r="T137" s="4">
        <f>IF(B137="","",IF(OR(Q137="Résolu",Q137="Clôturé"),IF(R137&lt;=O137,"Oui","Non"),IF(NOW()&lt;=O137,"En cours","En retard")))</f>
        <v/>
      </c>
    </row>
    <row r="138">
      <c r="A138" s="4">
        <f>IF(B138="","","Inc-Demo-"&amp;TEXT(ROW()-5,"0000"))</f>
        <v/>
      </c>
      <c r="B138" s="8" t="n"/>
      <c r="C138" s="9" t="n"/>
      <c r="N138" s="4">
        <f>IF(M138="","",VLOOKUP(M138,Parametres_SLA!$A$5:$B$8,2,FALSE))</f>
        <v/>
      </c>
      <c r="O138" s="5">
        <f>IF(B138="","",B138+C138+N138/24)</f>
        <v/>
      </c>
      <c r="R138" s="8" t="n"/>
      <c r="S138" s="7">
        <f>IF(B138="","",IF(R138&lt;&gt;"",(R138-(B138+C138))*24,(NOW()-(B138+C138))*24))</f>
        <v/>
      </c>
      <c r="T138" s="4">
        <f>IF(B138="","",IF(OR(Q138="Résolu",Q138="Clôturé"),IF(R138&lt;=O138,"Oui","Non"),IF(NOW()&lt;=O138,"En cours","En retard")))</f>
        <v/>
      </c>
    </row>
    <row r="139">
      <c r="A139" s="4">
        <f>IF(B139="","","Inc-Demo-"&amp;TEXT(ROW()-5,"0000"))</f>
        <v/>
      </c>
      <c r="B139" s="8" t="n"/>
      <c r="C139" s="9" t="n"/>
      <c r="N139" s="4">
        <f>IF(M139="","",VLOOKUP(M139,Parametres_SLA!$A$5:$B$8,2,FALSE))</f>
        <v/>
      </c>
      <c r="O139" s="5">
        <f>IF(B139="","",B139+C139+N139/24)</f>
        <v/>
      </c>
      <c r="R139" s="8" t="n"/>
      <c r="S139" s="7">
        <f>IF(B139="","",IF(R139&lt;&gt;"",(R139-(B139+C139))*24,(NOW()-(B139+C139))*24))</f>
        <v/>
      </c>
      <c r="T139" s="4">
        <f>IF(B139="","",IF(OR(Q139="Résolu",Q139="Clôturé"),IF(R139&lt;=O139,"Oui","Non"),IF(NOW()&lt;=O139,"En cours","En retard")))</f>
        <v/>
      </c>
    </row>
    <row r="140">
      <c r="A140" s="4">
        <f>IF(B140="","","Inc-Demo-"&amp;TEXT(ROW()-5,"0000"))</f>
        <v/>
      </c>
      <c r="B140" s="8" t="n"/>
      <c r="C140" s="9" t="n"/>
      <c r="N140" s="4">
        <f>IF(M140="","",VLOOKUP(M140,Parametres_SLA!$A$5:$B$8,2,FALSE))</f>
        <v/>
      </c>
      <c r="O140" s="5">
        <f>IF(B140="","",B140+C140+N140/24)</f>
        <v/>
      </c>
      <c r="R140" s="8" t="n"/>
      <c r="S140" s="7">
        <f>IF(B140="","",IF(R140&lt;&gt;"",(R140-(B140+C140))*24,(NOW()-(B140+C140))*24))</f>
        <v/>
      </c>
      <c r="T140" s="4">
        <f>IF(B140="","",IF(OR(Q140="Résolu",Q140="Clôturé"),IF(R140&lt;=O140,"Oui","Non"),IF(NOW()&lt;=O140,"En cours","En retard")))</f>
        <v/>
      </c>
    </row>
    <row r="141">
      <c r="A141" s="4">
        <f>IF(B141="","","Inc-Demo-"&amp;TEXT(ROW()-5,"0000"))</f>
        <v/>
      </c>
      <c r="B141" s="8" t="n"/>
      <c r="C141" s="9" t="n"/>
      <c r="N141" s="4">
        <f>IF(M141="","",VLOOKUP(M141,Parametres_SLA!$A$5:$B$8,2,FALSE))</f>
        <v/>
      </c>
      <c r="O141" s="5">
        <f>IF(B141="","",B141+C141+N141/24)</f>
        <v/>
      </c>
      <c r="R141" s="8" t="n"/>
      <c r="S141" s="7">
        <f>IF(B141="","",IF(R141&lt;&gt;"",(R141-(B141+C141))*24,(NOW()-(B141+C141))*24))</f>
        <v/>
      </c>
      <c r="T141" s="4">
        <f>IF(B141="","",IF(OR(Q141="Résolu",Q141="Clôturé"),IF(R141&lt;=O141,"Oui","Non"),IF(NOW()&lt;=O141,"En cours","En retard")))</f>
        <v/>
      </c>
    </row>
    <row r="142">
      <c r="A142" s="4">
        <f>IF(B142="","","Inc-Demo-"&amp;TEXT(ROW()-5,"0000"))</f>
        <v/>
      </c>
      <c r="B142" s="8" t="n"/>
      <c r="C142" s="9" t="n"/>
      <c r="N142" s="4">
        <f>IF(M142="","",VLOOKUP(M142,Parametres_SLA!$A$5:$B$8,2,FALSE))</f>
        <v/>
      </c>
      <c r="O142" s="5">
        <f>IF(B142="","",B142+C142+N142/24)</f>
        <v/>
      </c>
      <c r="R142" s="8" t="n"/>
      <c r="S142" s="7">
        <f>IF(B142="","",IF(R142&lt;&gt;"",(R142-(B142+C142))*24,(NOW()-(B142+C142))*24))</f>
        <v/>
      </c>
      <c r="T142" s="4">
        <f>IF(B142="","",IF(OR(Q142="Résolu",Q142="Clôturé"),IF(R142&lt;=O142,"Oui","Non"),IF(NOW()&lt;=O142,"En cours","En retard")))</f>
        <v/>
      </c>
    </row>
    <row r="143">
      <c r="A143" s="4">
        <f>IF(B143="","","Inc-Demo-"&amp;TEXT(ROW()-5,"0000"))</f>
        <v/>
      </c>
      <c r="B143" s="8" t="n"/>
      <c r="C143" s="9" t="n"/>
      <c r="N143" s="4">
        <f>IF(M143="","",VLOOKUP(M143,Parametres_SLA!$A$5:$B$8,2,FALSE))</f>
        <v/>
      </c>
      <c r="O143" s="5">
        <f>IF(B143="","",B143+C143+N143/24)</f>
        <v/>
      </c>
      <c r="R143" s="8" t="n"/>
      <c r="S143" s="7">
        <f>IF(B143="","",IF(R143&lt;&gt;"",(R143-(B143+C143))*24,(NOW()-(B143+C143))*24))</f>
        <v/>
      </c>
      <c r="T143" s="4">
        <f>IF(B143="","",IF(OR(Q143="Résolu",Q143="Clôturé"),IF(R143&lt;=O143,"Oui","Non"),IF(NOW()&lt;=O143,"En cours","En retard")))</f>
        <v/>
      </c>
    </row>
    <row r="144">
      <c r="A144" s="4">
        <f>IF(B144="","","Inc-Demo-"&amp;TEXT(ROW()-5,"0000"))</f>
        <v/>
      </c>
      <c r="B144" s="8" t="n"/>
      <c r="C144" s="9" t="n"/>
      <c r="N144" s="4">
        <f>IF(M144="","",VLOOKUP(M144,Parametres_SLA!$A$5:$B$8,2,FALSE))</f>
        <v/>
      </c>
      <c r="O144" s="5">
        <f>IF(B144="","",B144+C144+N144/24)</f>
        <v/>
      </c>
      <c r="R144" s="8" t="n"/>
      <c r="S144" s="7">
        <f>IF(B144="","",IF(R144&lt;&gt;"",(R144-(B144+C144))*24,(NOW()-(B144+C144))*24))</f>
        <v/>
      </c>
      <c r="T144" s="4">
        <f>IF(B144="","",IF(OR(Q144="Résolu",Q144="Clôturé"),IF(R144&lt;=O144,"Oui","Non"),IF(NOW()&lt;=O144,"En cours","En retard")))</f>
        <v/>
      </c>
    </row>
    <row r="145">
      <c r="A145" s="4">
        <f>IF(B145="","","Inc-Demo-"&amp;TEXT(ROW()-5,"0000"))</f>
        <v/>
      </c>
      <c r="B145" s="8" t="n"/>
      <c r="C145" s="9" t="n"/>
      <c r="N145" s="4">
        <f>IF(M145="","",VLOOKUP(M145,Parametres_SLA!$A$5:$B$8,2,FALSE))</f>
        <v/>
      </c>
      <c r="O145" s="5">
        <f>IF(B145="","",B145+C145+N145/24)</f>
        <v/>
      </c>
      <c r="R145" s="8" t="n"/>
      <c r="S145" s="7">
        <f>IF(B145="","",IF(R145&lt;&gt;"",(R145-(B145+C145))*24,(NOW()-(B145+C145))*24))</f>
        <v/>
      </c>
      <c r="T145" s="4">
        <f>IF(B145="","",IF(OR(Q145="Résolu",Q145="Clôturé"),IF(R145&lt;=O145,"Oui","Non"),IF(NOW()&lt;=O145,"En cours","En retard")))</f>
        <v/>
      </c>
    </row>
    <row r="146">
      <c r="A146" s="4">
        <f>IF(B146="","","Inc-Demo-"&amp;TEXT(ROW()-5,"0000"))</f>
        <v/>
      </c>
      <c r="B146" s="8" t="n"/>
      <c r="C146" s="9" t="n"/>
      <c r="N146" s="4">
        <f>IF(M146="","",VLOOKUP(M146,Parametres_SLA!$A$5:$B$8,2,FALSE))</f>
        <v/>
      </c>
      <c r="O146" s="5">
        <f>IF(B146="","",B146+C146+N146/24)</f>
        <v/>
      </c>
      <c r="R146" s="8" t="n"/>
      <c r="S146" s="7">
        <f>IF(B146="","",IF(R146&lt;&gt;"",(R146-(B146+C146))*24,(NOW()-(B146+C146))*24))</f>
        <v/>
      </c>
      <c r="T146" s="4">
        <f>IF(B146="","",IF(OR(Q146="Résolu",Q146="Clôturé"),IF(R146&lt;=O146,"Oui","Non"),IF(NOW()&lt;=O146,"En cours","En retard")))</f>
        <v/>
      </c>
    </row>
    <row r="147">
      <c r="A147" s="4">
        <f>IF(B147="","","Inc-Demo-"&amp;TEXT(ROW()-5,"0000"))</f>
        <v/>
      </c>
      <c r="B147" s="8" t="n"/>
      <c r="C147" s="9" t="n"/>
      <c r="N147" s="4">
        <f>IF(M147="","",VLOOKUP(M147,Parametres_SLA!$A$5:$B$8,2,FALSE))</f>
        <v/>
      </c>
      <c r="O147" s="5">
        <f>IF(B147="","",B147+C147+N147/24)</f>
        <v/>
      </c>
      <c r="R147" s="8" t="n"/>
      <c r="S147" s="7">
        <f>IF(B147="","",IF(R147&lt;&gt;"",(R147-(B147+C147))*24,(NOW()-(B147+C147))*24))</f>
        <v/>
      </c>
      <c r="T147" s="4">
        <f>IF(B147="","",IF(OR(Q147="Résolu",Q147="Clôturé"),IF(R147&lt;=O147,"Oui","Non"),IF(NOW()&lt;=O147,"En cours","En retard")))</f>
        <v/>
      </c>
    </row>
    <row r="148">
      <c r="A148" s="4">
        <f>IF(B148="","","Inc-Demo-"&amp;TEXT(ROW()-5,"0000"))</f>
        <v/>
      </c>
      <c r="B148" s="8" t="n"/>
      <c r="C148" s="9" t="n"/>
      <c r="N148" s="4">
        <f>IF(M148="","",VLOOKUP(M148,Parametres_SLA!$A$5:$B$8,2,FALSE))</f>
        <v/>
      </c>
      <c r="O148" s="5">
        <f>IF(B148="","",B148+C148+N148/24)</f>
        <v/>
      </c>
      <c r="R148" s="8" t="n"/>
      <c r="S148" s="7">
        <f>IF(B148="","",IF(R148&lt;&gt;"",(R148-(B148+C148))*24,(NOW()-(B148+C148))*24))</f>
        <v/>
      </c>
      <c r="T148" s="4">
        <f>IF(B148="","",IF(OR(Q148="Résolu",Q148="Clôturé"),IF(R148&lt;=O148,"Oui","Non"),IF(NOW()&lt;=O148,"En cours","En retard")))</f>
        <v/>
      </c>
    </row>
    <row r="149">
      <c r="A149" s="4">
        <f>IF(B149="","","Inc-Demo-"&amp;TEXT(ROW()-5,"0000"))</f>
        <v/>
      </c>
      <c r="B149" s="8" t="n"/>
      <c r="C149" s="9" t="n"/>
      <c r="N149" s="4">
        <f>IF(M149="","",VLOOKUP(M149,Parametres_SLA!$A$5:$B$8,2,FALSE))</f>
        <v/>
      </c>
      <c r="O149" s="5">
        <f>IF(B149="","",B149+C149+N149/24)</f>
        <v/>
      </c>
      <c r="R149" s="8" t="n"/>
      <c r="S149" s="7">
        <f>IF(B149="","",IF(R149&lt;&gt;"",(R149-(B149+C149))*24,(NOW()-(B149+C149))*24))</f>
        <v/>
      </c>
      <c r="T149" s="4">
        <f>IF(B149="","",IF(OR(Q149="Résolu",Q149="Clôturé"),IF(R149&lt;=O149,"Oui","Non"),IF(NOW()&lt;=O149,"En cours","En retard")))</f>
        <v/>
      </c>
    </row>
    <row r="150">
      <c r="A150" s="4">
        <f>IF(B150="","","Inc-Demo-"&amp;TEXT(ROW()-5,"0000"))</f>
        <v/>
      </c>
      <c r="B150" s="8" t="n"/>
      <c r="C150" s="9" t="n"/>
      <c r="N150" s="4">
        <f>IF(M150="","",VLOOKUP(M150,Parametres_SLA!$A$5:$B$8,2,FALSE))</f>
        <v/>
      </c>
      <c r="O150" s="5">
        <f>IF(B150="","",B150+C150+N150/24)</f>
        <v/>
      </c>
      <c r="R150" s="8" t="n"/>
      <c r="S150" s="7">
        <f>IF(B150="","",IF(R150&lt;&gt;"",(R150-(B150+C150))*24,(NOW()-(B150+C150))*24))</f>
        <v/>
      </c>
      <c r="T150" s="4">
        <f>IF(B150="","",IF(OR(Q150="Résolu",Q150="Clôturé"),IF(R150&lt;=O150,"Oui","Non"),IF(NOW()&lt;=O150,"En cours","En retard")))</f>
        <v/>
      </c>
    </row>
    <row r="151">
      <c r="A151" s="4">
        <f>IF(B151="","","Inc-Demo-"&amp;TEXT(ROW()-5,"0000"))</f>
        <v/>
      </c>
      <c r="B151" s="8" t="n"/>
      <c r="C151" s="9" t="n"/>
      <c r="N151" s="4">
        <f>IF(M151="","",VLOOKUP(M151,Parametres_SLA!$A$5:$B$8,2,FALSE))</f>
        <v/>
      </c>
      <c r="O151" s="5">
        <f>IF(B151="","",B151+C151+N151/24)</f>
        <v/>
      </c>
      <c r="R151" s="8" t="n"/>
      <c r="S151" s="7">
        <f>IF(B151="","",IF(R151&lt;&gt;"",(R151-(B151+C151))*24,(NOW()-(B151+C151))*24))</f>
        <v/>
      </c>
      <c r="T151" s="4">
        <f>IF(B151="","",IF(OR(Q151="Résolu",Q151="Clôturé"),IF(R151&lt;=O151,"Oui","Non"),IF(NOW()&lt;=O151,"En cours","En retard")))</f>
        <v/>
      </c>
    </row>
    <row r="152">
      <c r="A152" s="4">
        <f>IF(B152="","","Inc-Demo-"&amp;TEXT(ROW()-5,"0000"))</f>
        <v/>
      </c>
      <c r="B152" s="8" t="n"/>
      <c r="C152" s="9" t="n"/>
      <c r="N152" s="4">
        <f>IF(M152="","",VLOOKUP(M152,Parametres_SLA!$A$5:$B$8,2,FALSE))</f>
        <v/>
      </c>
      <c r="O152" s="5">
        <f>IF(B152="","",B152+C152+N152/24)</f>
        <v/>
      </c>
      <c r="R152" s="8" t="n"/>
      <c r="S152" s="7">
        <f>IF(B152="","",IF(R152&lt;&gt;"",(R152-(B152+C152))*24,(NOW()-(B152+C152))*24))</f>
        <v/>
      </c>
      <c r="T152" s="4">
        <f>IF(B152="","",IF(OR(Q152="Résolu",Q152="Clôturé"),IF(R152&lt;=O152,"Oui","Non"),IF(NOW()&lt;=O152,"En cours","En retard")))</f>
        <v/>
      </c>
    </row>
    <row r="153">
      <c r="A153" s="4">
        <f>IF(B153="","","Inc-Demo-"&amp;TEXT(ROW()-5,"0000"))</f>
        <v/>
      </c>
      <c r="B153" s="8" t="n"/>
      <c r="C153" s="9" t="n"/>
      <c r="N153" s="4">
        <f>IF(M153="","",VLOOKUP(M153,Parametres_SLA!$A$5:$B$8,2,FALSE))</f>
        <v/>
      </c>
      <c r="O153" s="5">
        <f>IF(B153="","",B153+C153+N153/24)</f>
        <v/>
      </c>
      <c r="R153" s="8" t="n"/>
      <c r="S153" s="7">
        <f>IF(B153="","",IF(R153&lt;&gt;"",(R153-(B153+C153))*24,(NOW()-(B153+C153))*24))</f>
        <v/>
      </c>
      <c r="T153" s="4">
        <f>IF(B153="","",IF(OR(Q153="Résolu",Q153="Clôturé"),IF(R153&lt;=O153,"Oui","Non"),IF(NOW()&lt;=O153,"En cours","En retard")))</f>
        <v/>
      </c>
    </row>
    <row r="154">
      <c r="A154" s="4">
        <f>IF(B154="","","Inc-Demo-"&amp;TEXT(ROW()-5,"0000"))</f>
        <v/>
      </c>
      <c r="B154" s="8" t="n"/>
      <c r="C154" s="9" t="n"/>
      <c r="N154" s="4">
        <f>IF(M154="","",VLOOKUP(M154,Parametres_SLA!$A$5:$B$8,2,FALSE))</f>
        <v/>
      </c>
      <c r="O154" s="5">
        <f>IF(B154="","",B154+C154+N154/24)</f>
        <v/>
      </c>
      <c r="R154" s="8" t="n"/>
      <c r="S154" s="7">
        <f>IF(B154="","",IF(R154&lt;&gt;"",(R154-(B154+C154))*24,(NOW()-(B154+C154))*24))</f>
        <v/>
      </c>
      <c r="T154" s="4">
        <f>IF(B154="","",IF(OR(Q154="Résolu",Q154="Clôturé"),IF(R154&lt;=O154,"Oui","Non"),IF(NOW()&lt;=O154,"En cours","En retard")))</f>
        <v/>
      </c>
    </row>
    <row r="155">
      <c r="A155" s="4">
        <f>IF(B155="","","Inc-Demo-"&amp;TEXT(ROW()-5,"0000"))</f>
        <v/>
      </c>
      <c r="B155" s="8" t="n"/>
      <c r="C155" s="9" t="n"/>
      <c r="N155" s="4">
        <f>IF(M155="","",VLOOKUP(M155,Parametres_SLA!$A$5:$B$8,2,FALSE))</f>
        <v/>
      </c>
      <c r="O155" s="5">
        <f>IF(B155="","",B155+C155+N155/24)</f>
        <v/>
      </c>
      <c r="R155" s="8" t="n"/>
      <c r="S155" s="7">
        <f>IF(B155="","",IF(R155&lt;&gt;"",(R155-(B155+C155))*24,(NOW()-(B155+C155))*24))</f>
        <v/>
      </c>
      <c r="T155" s="4">
        <f>IF(B155="","",IF(OR(Q155="Résolu",Q155="Clôturé"),IF(R155&lt;=O155,"Oui","Non"),IF(NOW()&lt;=O155,"En cours","En retard")))</f>
        <v/>
      </c>
    </row>
    <row r="156">
      <c r="A156" s="4">
        <f>IF(B156="","","Inc-Demo-"&amp;TEXT(ROW()-5,"0000"))</f>
        <v/>
      </c>
      <c r="B156" s="8" t="n"/>
      <c r="C156" s="9" t="n"/>
      <c r="N156" s="4">
        <f>IF(M156="","",VLOOKUP(M156,Parametres_SLA!$A$5:$B$8,2,FALSE))</f>
        <v/>
      </c>
      <c r="O156" s="5">
        <f>IF(B156="","",B156+C156+N156/24)</f>
        <v/>
      </c>
      <c r="R156" s="8" t="n"/>
      <c r="S156" s="7">
        <f>IF(B156="","",IF(R156&lt;&gt;"",(R156-(B156+C156))*24,(NOW()-(B156+C156))*24))</f>
        <v/>
      </c>
      <c r="T156" s="4">
        <f>IF(B156="","",IF(OR(Q156="Résolu",Q156="Clôturé"),IF(R156&lt;=O156,"Oui","Non"),IF(NOW()&lt;=O156,"En cours","En retard")))</f>
        <v/>
      </c>
    </row>
    <row r="157">
      <c r="A157" s="4">
        <f>IF(B157="","","Inc-Demo-"&amp;TEXT(ROW()-5,"0000"))</f>
        <v/>
      </c>
      <c r="B157" s="8" t="n"/>
      <c r="C157" s="9" t="n"/>
      <c r="N157" s="4">
        <f>IF(M157="","",VLOOKUP(M157,Parametres_SLA!$A$5:$B$8,2,FALSE))</f>
        <v/>
      </c>
      <c r="O157" s="5">
        <f>IF(B157="","",B157+C157+N157/24)</f>
        <v/>
      </c>
      <c r="R157" s="8" t="n"/>
      <c r="S157" s="7">
        <f>IF(B157="","",IF(R157&lt;&gt;"",(R157-(B157+C157))*24,(NOW()-(B157+C157))*24))</f>
        <v/>
      </c>
      <c r="T157" s="4">
        <f>IF(B157="","",IF(OR(Q157="Résolu",Q157="Clôturé"),IF(R157&lt;=O157,"Oui","Non"),IF(NOW()&lt;=O157,"En cours","En retard")))</f>
        <v/>
      </c>
    </row>
    <row r="158">
      <c r="A158" s="4">
        <f>IF(B158="","","Inc-Demo-"&amp;TEXT(ROW()-5,"0000"))</f>
        <v/>
      </c>
      <c r="B158" s="8" t="n"/>
      <c r="C158" s="9" t="n"/>
      <c r="N158" s="4">
        <f>IF(M158="","",VLOOKUP(M158,Parametres_SLA!$A$5:$B$8,2,FALSE))</f>
        <v/>
      </c>
      <c r="O158" s="5">
        <f>IF(B158="","",B158+C158+N158/24)</f>
        <v/>
      </c>
      <c r="R158" s="8" t="n"/>
      <c r="S158" s="7">
        <f>IF(B158="","",IF(R158&lt;&gt;"",(R158-(B158+C158))*24,(NOW()-(B158+C158))*24))</f>
        <v/>
      </c>
      <c r="T158" s="4">
        <f>IF(B158="","",IF(OR(Q158="Résolu",Q158="Clôturé"),IF(R158&lt;=O158,"Oui","Non"),IF(NOW()&lt;=O158,"En cours","En retard")))</f>
        <v/>
      </c>
    </row>
    <row r="159">
      <c r="A159" s="4">
        <f>IF(B159="","","Inc-Demo-"&amp;TEXT(ROW()-5,"0000"))</f>
        <v/>
      </c>
      <c r="B159" s="8" t="n"/>
      <c r="C159" s="9" t="n"/>
      <c r="N159" s="4">
        <f>IF(M159="","",VLOOKUP(M159,Parametres_SLA!$A$5:$B$8,2,FALSE))</f>
        <v/>
      </c>
      <c r="O159" s="5">
        <f>IF(B159="","",B159+C159+N159/24)</f>
        <v/>
      </c>
      <c r="R159" s="8" t="n"/>
      <c r="S159" s="7">
        <f>IF(B159="","",IF(R159&lt;&gt;"",(R159-(B159+C159))*24,(NOW()-(B159+C159))*24))</f>
        <v/>
      </c>
      <c r="T159" s="4">
        <f>IF(B159="","",IF(OR(Q159="Résolu",Q159="Clôturé"),IF(R159&lt;=O159,"Oui","Non"),IF(NOW()&lt;=O159,"En cours","En retard")))</f>
        <v/>
      </c>
    </row>
    <row r="160">
      <c r="A160" s="4">
        <f>IF(B160="","","Inc-Demo-"&amp;TEXT(ROW()-5,"0000"))</f>
        <v/>
      </c>
      <c r="B160" s="8" t="n"/>
      <c r="C160" s="9" t="n"/>
      <c r="N160" s="4">
        <f>IF(M160="","",VLOOKUP(M160,Parametres_SLA!$A$5:$B$8,2,FALSE))</f>
        <v/>
      </c>
      <c r="O160" s="5">
        <f>IF(B160="","",B160+C160+N160/24)</f>
        <v/>
      </c>
      <c r="R160" s="8" t="n"/>
      <c r="S160" s="7">
        <f>IF(B160="","",IF(R160&lt;&gt;"",(R160-(B160+C160))*24,(NOW()-(B160+C160))*24))</f>
        <v/>
      </c>
      <c r="T160" s="4">
        <f>IF(B160="","",IF(OR(Q160="Résolu",Q160="Clôturé"),IF(R160&lt;=O160,"Oui","Non"),IF(NOW()&lt;=O160,"En cours","En retard")))</f>
        <v/>
      </c>
    </row>
    <row r="161">
      <c r="A161" s="4">
        <f>IF(B161="","","Inc-Demo-"&amp;TEXT(ROW()-5,"0000"))</f>
        <v/>
      </c>
      <c r="B161" s="8" t="n"/>
      <c r="C161" s="9" t="n"/>
      <c r="N161" s="4">
        <f>IF(M161="","",VLOOKUP(M161,Parametres_SLA!$A$5:$B$8,2,FALSE))</f>
        <v/>
      </c>
      <c r="O161" s="5">
        <f>IF(B161="","",B161+C161+N161/24)</f>
        <v/>
      </c>
      <c r="R161" s="8" t="n"/>
      <c r="S161" s="7">
        <f>IF(B161="","",IF(R161&lt;&gt;"",(R161-(B161+C161))*24,(NOW()-(B161+C161))*24))</f>
        <v/>
      </c>
      <c r="T161" s="4">
        <f>IF(B161="","",IF(OR(Q161="Résolu",Q161="Clôturé"),IF(R161&lt;=O161,"Oui","Non"),IF(NOW()&lt;=O161,"En cours","En retard")))</f>
        <v/>
      </c>
    </row>
    <row r="162">
      <c r="A162" s="4">
        <f>IF(B162="","","Inc-Demo-"&amp;TEXT(ROW()-5,"0000"))</f>
        <v/>
      </c>
      <c r="B162" s="8" t="n"/>
      <c r="C162" s="9" t="n"/>
      <c r="N162" s="4">
        <f>IF(M162="","",VLOOKUP(M162,Parametres_SLA!$A$5:$B$8,2,FALSE))</f>
        <v/>
      </c>
      <c r="O162" s="5">
        <f>IF(B162="","",B162+C162+N162/24)</f>
        <v/>
      </c>
      <c r="R162" s="8" t="n"/>
      <c r="S162" s="7">
        <f>IF(B162="","",IF(R162&lt;&gt;"",(R162-(B162+C162))*24,(NOW()-(B162+C162))*24))</f>
        <v/>
      </c>
      <c r="T162" s="4">
        <f>IF(B162="","",IF(OR(Q162="Résolu",Q162="Clôturé"),IF(R162&lt;=O162,"Oui","Non"),IF(NOW()&lt;=O162,"En cours","En retard")))</f>
        <v/>
      </c>
    </row>
    <row r="163">
      <c r="A163" s="4">
        <f>IF(B163="","","Inc-Demo-"&amp;TEXT(ROW()-5,"0000"))</f>
        <v/>
      </c>
      <c r="B163" s="8" t="n"/>
      <c r="C163" s="9" t="n"/>
      <c r="N163" s="4">
        <f>IF(M163="","",VLOOKUP(M163,Parametres_SLA!$A$5:$B$8,2,FALSE))</f>
        <v/>
      </c>
      <c r="O163" s="5">
        <f>IF(B163="","",B163+C163+N163/24)</f>
        <v/>
      </c>
      <c r="R163" s="8" t="n"/>
      <c r="S163" s="7">
        <f>IF(B163="","",IF(R163&lt;&gt;"",(R163-(B163+C163))*24,(NOW()-(B163+C163))*24))</f>
        <v/>
      </c>
      <c r="T163" s="4">
        <f>IF(B163="","",IF(OR(Q163="Résolu",Q163="Clôturé"),IF(R163&lt;=O163,"Oui","Non"),IF(NOW()&lt;=O163,"En cours","En retard")))</f>
        <v/>
      </c>
    </row>
    <row r="164">
      <c r="A164" s="4">
        <f>IF(B164="","","Inc-Demo-"&amp;TEXT(ROW()-5,"0000"))</f>
        <v/>
      </c>
      <c r="B164" s="8" t="n"/>
      <c r="C164" s="9" t="n"/>
      <c r="N164" s="4">
        <f>IF(M164="","",VLOOKUP(M164,Parametres_SLA!$A$5:$B$8,2,FALSE))</f>
        <v/>
      </c>
      <c r="O164" s="5">
        <f>IF(B164="","",B164+C164+N164/24)</f>
        <v/>
      </c>
      <c r="R164" s="8" t="n"/>
      <c r="S164" s="7">
        <f>IF(B164="","",IF(R164&lt;&gt;"",(R164-(B164+C164))*24,(NOW()-(B164+C164))*24))</f>
        <v/>
      </c>
      <c r="T164" s="4">
        <f>IF(B164="","",IF(OR(Q164="Résolu",Q164="Clôturé"),IF(R164&lt;=O164,"Oui","Non"),IF(NOW()&lt;=O164,"En cours","En retard")))</f>
        <v/>
      </c>
    </row>
    <row r="165">
      <c r="A165" s="4">
        <f>IF(B165="","","Inc-Demo-"&amp;TEXT(ROW()-5,"0000"))</f>
        <v/>
      </c>
      <c r="B165" s="8" t="n"/>
      <c r="C165" s="9" t="n"/>
      <c r="N165" s="4">
        <f>IF(M165="","",VLOOKUP(M165,Parametres_SLA!$A$5:$B$8,2,FALSE))</f>
        <v/>
      </c>
      <c r="O165" s="5">
        <f>IF(B165="","",B165+C165+N165/24)</f>
        <v/>
      </c>
      <c r="R165" s="8" t="n"/>
      <c r="S165" s="7">
        <f>IF(B165="","",IF(R165&lt;&gt;"",(R165-(B165+C165))*24,(NOW()-(B165+C165))*24))</f>
        <v/>
      </c>
      <c r="T165" s="4">
        <f>IF(B165="","",IF(OR(Q165="Résolu",Q165="Clôturé"),IF(R165&lt;=O165,"Oui","Non"),IF(NOW()&lt;=O165,"En cours","En retard")))</f>
        <v/>
      </c>
    </row>
    <row r="166">
      <c r="A166" s="4">
        <f>IF(B166="","","Inc-Demo-"&amp;TEXT(ROW()-5,"0000"))</f>
        <v/>
      </c>
      <c r="B166" s="8" t="n"/>
      <c r="C166" s="9" t="n"/>
      <c r="N166" s="4">
        <f>IF(M166="","",VLOOKUP(M166,Parametres_SLA!$A$5:$B$8,2,FALSE))</f>
        <v/>
      </c>
      <c r="O166" s="5">
        <f>IF(B166="","",B166+C166+N166/24)</f>
        <v/>
      </c>
      <c r="R166" s="8" t="n"/>
      <c r="S166" s="7">
        <f>IF(B166="","",IF(R166&lt;&gt;"",(R166-(B166+C166))*24,(NOW()-(B166+C166))*24))</f>
        <v/>
      </c>
      <c r="T166" s="4">
        <f>IF(B166="","",IF(OR(Q166="Résolu",Q166="Clôturé"),IF(R166&lt;=O166,"Oui","Non"),IF(NOW()&lt;=O166,"En cours","En retard")))</f>
        <v/>
      </c>
    </row>
    <row r="167">
      <c r="A167" s="4">
        <f>IF(B167="","","Inc-Demo-"&amp;TEXT(ROW()-5,"0000"))</f>
        <v/>
      </c>
      <c r="B167" s="8" t="n"/>
      <c r="C167" s="9" t="n"/>
      <c r="N167" s="4">
        <f>IF(M167="","",VLOOKUP(M167,Parametres_SLA!$A$5:$B$8,2,FALSE))</f>
        <v/>
      </c>
      <c r="O167" s="5">
        <f>IF(B167="","",B167+C167+N167/24)</f>
        <v/>
      </c>
      <c r="R167" s="8" t="n"/>
      <c r="S167" s="7">
        <f>IF(B167="","",IF(R167&lt;&gt;"",(R167-(B167+C167))*24,(NOW()-(B167+C167))*24))</f>
        <v/>
      </c>
      <c r="T167" s="4">
        <f>IF(B167="","",IF(OR(Q167="Résolu",Q167="Clôturé"),IF(R167&lt;=O167,"Oui","Non"),IF(NOW()&lt;=O167,"En cours","En retard")))</f>
        <v/>
      </c>
    </row>
    <row r="168">
      <c r="A168" s="4">
        <f>IF(B168="","","Inc-Demo-"&amp;TEXT(ROW()-5,"0000"))</f>
        <v/>
      </c>
      <c r="B168" s="8" t="n"/>
      <c r="C168" s="9" t="n"/>
      <c r="N168" s="4">
        <f>IF(M168="","",VLOOKUP(M168,Parametres_SLA!$A$5:$B$8,2,FALSE))</f>
        <v/>
      </c>
      <c r="O168" s="5">
        <f>IF(B168="","",B168+C168+N168/24)</f>
        <v/>
      </c>
      <c r="R168" s="8" t="n"/>
      <c r="S168" s="7">
        <f>IF(B168="","",IF(R168&lt;&gt;"",(R168-(B168+C168))*24,(NOW()-(B168+C168))*24))</f>
        <v/>
      </c>
      <c r="T168" s="4">
        <f>IF(B168="","",IF(OR(Q168="Résolu",Q168="Clôturé"),IF(R168&lt;=O168,"Oui","Non"),IF(NOW()&lt;=O168,"En cours","En retard")))</f>
        <v/>
      </c>
    </row>
    <row r="169">
      <c r="A169" s="4">
        <f>IF(B169="","","Inc-Demo-"&amp;TEXT(ROW()-5,"0000"))</f>
        <v/>
      </c>
      <c r="B169" s="8" t="n"/>
      <c r="C169" s="9" t="n"/>
      <c r="N169" s="4">
        <f>IF(M169="","",VLOOKUP(M169,Parametres_SLA!$A$5:$B$8,2,FALSE))</f>
        <v/>
      </c>
      <c r="O169" s="5">
        <f>IF(B169="","",B169+C169+N169/24)</f>
        <v/>
      </c>
      <c r="R169" s="8" t="n"/>
      <c r="S169" s="7">
        <f>IF(B169="","",IF(R169&lt;&gt;"",(R169-(B169+C169))*24,(NOW()-(B169+C169))*24))</f>
        <v/>
      </c>
      <c r="T169" s="4">
        <f>IF(B169="","",IF(OR(Q169="Résolu",Q169="Clôturé"),IF(R169&lt;=O169,"Oui","Non"),IF(NOW()&lt;=O169,"En cours","En retard")))</f>
        <v/>
      </c>
    </row>
    <row r="170">
      <c r="A170" s="4">
        <f>IF(B170="","","Inc-Demo-"&amp;TEXT(ROW()-5,"0000"))</f>
        <v/>
      </c>
      <c r="B170" s="8" t="n"/>
      <c r="C170" s="9" t="n"/>
      <c r="N170" s="4">
        <f>IF(M170="","",VLOOKUP(M170,Parametres_SLA!$A$5:$B$8,2,FALSE))</f>
        <v/>
      </c>
      <c r="O170" s="5">
        <f>IF(B170="","",B170+C170+N170/24)</f>
        <v/>
      </c>
      <c r="R170" s="8" t="n"/>
      <c r="S170" s="7">
        <f>IF(B170="","",IF(R170&lt;&gt;"",(R170-(B170+C170))*24,(NOW()-(B170+C170))*24))</f>
        <v/>
      </c>
      <c r="T170" s="4">
        <f>IF(B170="","",IF(OR(Q170="Résolu",Q170="Clôturé"),IF(R170&lt;=O170,"Oui","Non"),IF(NOW()&lt;=O170,"En cours","En retard")))</f>
        <v/>
      </c>
    </row>
    <row r="171">
      <c r="A171" s="4">
        <f>IF(B171="","","Inc-Demo-"&amp;TEXT(ROW()-5,"0000"))</f>
        <v/>
      </c>
      <c r="B171" s="8" t="n"/>
      <c r="C171" s="9" t="n"/>
      <c r="N171" s="4">
        <f>IF(M171="","",VLOOKUP(M171,Parametres_SLA!$A$5:$B$8,2,FALSE))</f>
        <v/>
      </c>
      <c r="O171" s="5">
        <f>IF(B171="","",B171+C171+N171/24)</f>
        <v/>
      </c>
      <c r="R171" s="8" t="n"/>
      <c r="S171" s="7">
        <f>IF(B171="","",IF(R171&lt;&gt;"",(R171-(B171+C171))*24,(NOW()-(B171+C171))*24))</f>
        <v/>
      </c>
      <c r="T171" s="4">
        <f>IF(B171="","",IF(OR(Q171="Résolu",Q171="Clôturé"),IF(R171&lt;=O171,"Oui","Non"),IF(NOW()&lt;=O171,"En cours","En retard")))</f>
        <v/>
      </c>
    </row>
    <row r="172">
      <c r="A172" s="4">
        <f>IF(B172="","","Inc-Demo-"&amp;TEXT(ROW()-5,"0000"))</f>
        <v/>
      </c>
      <c r="B172" s="8" t="n"/>
      <c r="C172" s="9" t="n"/>
      <c r="N172" s="4">
        <f>IF(M172="","",VLOOKUP(M172,Parametres_SLA!$A$5:$B$8,2,FALSE))</f>
        <v/>
      </c>
      <c r="O172" s="5">
        <f>IF(B172="","",B172+C172+N172/24)</f>
        <v/>
      </c>
      <c r="R172" s="8" t="n"/>
      <c r="S172" s="7">
        <f>IF(B172="","",IF(R172&lt;&gt;"",(R172-(B172+C172))*24,(NOW()-(B172+C172))*24))</f>
        <v/>
      </c>
      <c r="T172" s="4">
        <f>IF(B172="","",IF(OR(Q172="Résolu",Q172="Clôturé"),IF(R172&lt;=O172,"Oui","Non"),IF(NOW()&lt;=O172,"En cours","En retard")))</f>
        <v/>
      </c>
    </row>
    <row r="173">
      <c r="A173" s="4">
        <f>IF(B173="","","Inc-Demo-"&amp;TEXT(ROW()-5,"0000"))</f>
        <v/>
      </c>
      <c r="B173" s="8" t="n"/>
      <c r="C173" s="9" t="n"/>
      <c r="N173" s="4">
        <f>IF(M173="","",VLOOKUP(M173,Parametres_SLA!$A$5:$B$8,2,FALSE))</f>
        <v/>
      </c>
      <c r="O173" s="5">
        <f>IF(B173="","",B173+C173+N173/24)</f>
        <v/>
      </c>
      <c r="R173" s="8" t="n"/>
      <c r="S173" s="7">
        <f>IF(B173="","",IF(R173&lt;&gt;"",(R173-(B173+C173))*24,(NOW()-(B173+C173))*24))</f>
        <v/>
      </c>
      <c r="T173" s="4">
        <f>IF(B173="","",IF(OR(Q173="Résolu",Q173="Clôturé"),IF(R173&lt;=O173,"Oui","Non"),IF(NOW()&lt;=O173,"En cours","En retard")))</f>
        <v/>
      </c>
    </row>
    <row r="174">
      <c r="A174" s="4">
        <f>IF(B174="","","Inc-Demo-"&amp;TEXT(ROW()-5,"0000"))</f>
        <v/>
      </c>
      <c r="B174" s="8" t="n"/>
      <c r="C174" s="9" t="n"/>
      <c r="N174" s="4">
        <f>IF(M174="","",VLOOKUP(M174,Parametres_SLA!$A$5:$B$8,2,FALSE))</f>
        <v/>
      </c>
      <c r="O174" s="5">
        <f>IF(B174="","",B174+C174+N174/24)</f>
        <v/>
      </c>
      <c r="R174" s="8" t="n"/>
      <c r="S174" s="7">
        <f>IF(B174="","",IF(R174&lt;&gt;"",(R174-(B174+C174))*24,(NOW()-(B174+C174))*24))</f>
        <v/>
      </c>
      <c r="T174" s="4">
        <f>IF(B174="","",IF(OR(Q174="Résolu",Q174="Clôturé"),IF(R174&lt;=O174,"Oui","Non"),IF(NOW()&lt;=O174,"En cours","En retard")))</f>
        <v/>
      </c>
    </row>
    <row r="175">
      <c r="A175" s="4">
        <f>IF(B175="","","Inc-Demo-"&amp;TEXT(ROW()-5,"0000"))</f>
        <v/>
      </c>
      <c r="B175" s="8" t="n"/>
      <c r="C175" s="9" t="n"/>
      <c r="N175" s="4">
        <f>IF(M175="","",VLOOKUP(M175,Parametres_SLA!$A$5:$B$8,2,FALSE))</f>
        <v/>
      </c>
      <c r="O175" s="5">
        <f>IF(B175="","",B175+C175+N175/24)</f>
        <v/>
      </c>
      <c r="R175" s="8" t="n"/>
      <c r="S175" s="7">
        <f>IF(B175="","",IF(R175&lt;&gt;"",(R175-(B175+C175))*24,(NOW()-(B175+C175))*24))</f>
        <v/>
      </c>
      <c r="T175" s="4">
        <f>IF(B175="","",IF(OR(Q175="Résolu",Q175="Clôturé"),IF(R175&lt;=O175,"Oui","Non"),IF(NOW()&lt;=O175,"En cours","En retard")))</f>
        <v/>
      </c>
    </row>
    <row r="176">
      <c r="A176" s="4">
        <f>IF(B176="","","Inc-Demo-"&amp;TEXT(ROW()-5,"0000"))</f>
        <v/>
      </c>
      <c r="B176" s="8" t="n"/>
      <c r="C176" s="9" t="n"/>
      <c r="N176" s="4">
        <f>IF(M176="","",VLOOKUP(M176,Parametres_SLA!$A$5:$B$8,2,FALSE))</f>
        <v/>
      </c>
      <c r="O176" s="5">
        <f>IF(B176="","",B176+C176+N176/24)</f>
        <v/>
      </c>
      <c r="R176" s="8" t="n"/>
      <c r="S176" s="7">
        <f>IF(B176="","",IF(R176&lt;&gt;"",(R176-(B176+C176))*24,(NOW()-(B176+C176))*24))</f>
        <v/>
      </c>
      <c r="T176" s="4">
        <f>IF(B176="","",IF(OR(Q176="Résolu",Q176="Clôturé"),IF(R176&lt;=O176,"Oui","Non"),IF(NOW()&lt;=O176,"En cours","En retard")))</f>
        <v/>
      </c>
    </row>
    <row r="177">
      <c r="A177" s="4">
        <f>IF(B177="","","Inc-Demo-"&amp;TEXT(ROW()-5,"0000"))</f>
        <v/>
      </c>
      <c r="B177" s="8" t="n"/>
      <c r="C177" s="9" t="n"/>
      <c r="N177" s="4">
        <f>IF(M177="","",VLOOKUP(M177,Parametres_SLA!$A$5:$B$8,2,FALSE))</f>
        <v/>
      </c>
      <c r="O177" s="5">
        <f>IF(B177="","",B177+C177+N177/24)</f>
        <v/>
      </c>
      <c r="R177" s="8" t="n"/>
      <c r="S177" s="7">
        <f>IF(B177="","",IF(R177&lt;&gt;"",(R177-(B177+C177))*24,(NOW()-(B177+C177))*24))</f>
        <v/>
      </c>
      <c r="T177" s="4">
        <f>IF(B177="","",IF(OR(Q177="Résolu",Q177="Clôturé"),IF(R177&lt;=O177,"Oui","Non"),IF(NOW()&lt;=O177,"En cours","En retard")))</f>
        <v/>
      </c>
    </row>
    <row r="178">
      <c r="A178" s="4">
        <f>IF(B178="","","Inc-Demo-"&amp;TEXT(ROW()-5,"0000"))</f>
        <v/>
      </c>
      <c r="B178" s="8" t="n"/>
      <c r="C178" s="9" t="n"/>
      <c r="N178" s="4">
        <f>IF(M178="","",VLOOKUP(M178,Parametres_SLA!$A$5:$B$8,2,FALSE))</f>
        <v/>
      </c>
      <c r="O178" s="5">
        <f>IF(B178="","",B178+C178+N178/24)</f>
        <v/>
      </c>
      <c r="R178" s="8" t="n"/>
      <c r="S178" s="7">
        <f>IF(B178="","",IF(R178&lt;&gt;"",(R178-(B178+C178))*24,(NOW()-(B178+C178))*24))</f>
        <v/>
      </c>
      <c r="T178" s="4">
        <f>IF(B178="","",IF(OR(Q178="Résolu",Q178="Clôturé"),IF(R178&lt;=O178,"Oui","Non"),IF(NOW()&lt;=O178,"En cours","En retard")))</f>
        <v/>
      </c>
    </row>
    <row r="179">
      <c r="A179" s="4">
        <f>IF(B179="","","Inc-Demo-"&amp;TEXT(ROW()-5,"0000"))</f>
        <v/>
      </c>
      <c r="B179" s="8" t="n"/>
      <c r="C179" s="9" t="n"/>
      <c r="N179" s="4">
        <f>IF(M179="","",VLOOKUP(M179,Parametres_SLA!$A$5:$B$8,2,FALSE))</f>
        <v/>
      </c>
      <c r="O179" s="5">
        <f>IF(B179="","",B179+C179+N179/24)</f>
        <v/>
      </c>
      <c r="R179" s="8" t="n"/>
      <c r="S179" s="7">
        <f>IF(B179="","",IF(R179&lt;&gt;"",(R179-(B179+C179))*24,(NOW()-(B179+C179))*24))</f>
        <v/>
      </c>
      <c r="T179" s="4">
        <f>IF(B179="","",IF(OR(Q179="Résolu",Q179="Clôturé"),IF(R179&lt;=O179,"Oui","Non"),IF(NOW()&lt;=O179,"En cours","En retard")))</f>
        <v/>
      </c>
    </row>
    <row r="180">
      <c r="A180" s="4">
        <f>IF(B180="","","Inc-Demo-"&amp;TEXT(ROW()-5,"0000"))</f>
        <v/>
      </c>
      <c r="B180" s="8" t="n"/>
      <c r="C180" s="9" t="n"/>
      <c r="N180" s="4">
        <f>IF(M180="","",VLOOKUP(M180,Parametres_SLA!$A$5:$B$8,2,FALSE))</f>
        <v/>
      </c>
      <c r="O180" s="5">
        <f>IF(B180="","",B180+C180+N180/24)</f>
        <v/>
      </c>
      <c r="R180" s="8" t="n"/>
      <c r="S180" s="7">
        <f>IF(B180="","",IF(R180&lt;&gt;"",(R180-(B180+C180))*24,(NOW()-(B180+C180))*24))</f>
        <v/>
      </c>
      <c r="T180" s="4">
        <f>IF(B180="","",IF(OR(Q180="Résolu",Q180="Clôturé"),IF(R180&lt;=O180,"Oui","Non"),IF(NOW()&lt;=O180,"En cours","En retard")))</f>
        <v/>
      </c>
    </row>
    <row r="181">
      <c r="A181" s="4">
        <f>IF(B181="","","Inc-Demo-"&amp;TEXT(ROW()-5,"0000"))</f>
        <v/>
      </c>
      <c r="B181" s="8" t="n"/>
      <c r="C181" s="9" t="n"/>
      <c r="N181" s="4">
        <f>IF(M181="","",VLOOKUP(M181,Parametres_SLA!$A$5:$B$8,2,FALSE))</f>
        <v/>
      </c>
      <c r="O181" s="5">
        <f>IF(B181="","",B181+C181+N181/24)</f>
        <v/>
      </c>
      <c r="R181" s="8" t="n"/>
      <c r="S181" s="7">
        <f>IF(B181="","",IF(R181&lt;&gt;"",(R181-(B181+C181))*24,(NOW()-(B181+C181))*24))</f>
        <v/>
      </c>
      <c r="T181" s="4">
        <f>IF(B181="","",IF(OR(Q181="Résolu",Q181="Clôturé"),IF(R181&lt;=O181,"Oui","Non"),IF(NOW()&lt;=O181,"En cours","En retard")))</f>
        <v/>
      </c>
    </row>
    <row r="182">
      <c r="A182" s="4">
        <f>IF(B182="","","Inc-Demo-"&amp;TEXT(ROW()-5,"0000"))</f>
        <v/>
      </c>
      <c r="B182" s="8" t="n"/>
      <c r="C182" s="9" t="n"/>
      <c r="N182" s="4">
        <f>IF(M182="","",VLOOKUP(M182,Parametres_SLA!$A$5:$B$8,2,FALSE))</f>
        <v/>
      </c>
      <c r="O182" s="5">
        <f>IF(B182="","",B182+C182+N182/24)</f>
        <v/>
      </c>
      <c r="R182" s="8" t="n"/>
      <c r="S182" s="7">
        <f>IF(B182="","",IF(R182&lt;&gt;"",(R182-(B182+C182))*24,(NOW()-(B182+C182))*24))</f>
        <v/>
      </c>
      <c r="T182" s="4">
        <f>IF(B182="","",IF(OR(Q182="Résolu",Q182="Clôturé"),IF(R182&lt;=O182,"Oui","Non"),IF(NOW()&lt;=O182,"En cours","En retard")))</f>
        <v/>
      </c>
    </row>
    <row r="183">
      <c r="A183" s="4">
        <f>IF(B183="","","Inc-Demo-"&amp;TEXT(ROW()-5,"0000"))</f>
        <v/>
      </c>
      <c r="B183" s="8" t="n"/>
      <c r="C183" s="9" t="n"/>
      <c r="N183" s="4">
        <f>IF(M183="","",VLOOKUP(M183,Parametres_SLA!$A$5:$B$8,2,FALSE))</f>
        <v/>
      </c>
      <c r="O183" s="5">
        <f>IF(B183="","",B183+C183+N183/24)</f>
        <v/>
      </c>
      <c r="R183" s="8" t="n"/>
      <c r="S183" s="7">
        <f>IF(B183="","",IF(R183&lt;&gt;"",(R183-(B183+C183))*24,(NOW()-(B183+C183))*24))</f>
        <v/>
      </c>
      <c r="T183" s="4">
        <f>IF(B183="","",IF(OR(Q183="Résolu",Q183="Clôturé"),IF(R183&lt;=O183,"Oui","Non"),IF(NOW()&lt;=O183,"En cours","En retard")))</f>
        <v/>
      </c>
    </row>
    <row r="184">
      <c r="A184" s="4">
        <f>IF(B184="","","Inc-Demo-"&amp;TEXT(ROW()-5,"0000"))</f>
        <v/>
      </c>
      <c r="B184" s="8" t="n"/>
      <c r="C184" s="9" t="n"/>
      <c r="N184" s="4">
        <f>IF(M184="","",VLOOKUP(M184,Parametres_SLA!$A$5:$B$8,2,FALSE))</f>
        <v/>
      </c>
      <c r="O184" s="5">
        <f>IF(B184="","",B184+C184+N184/24)</f>
        <v/>
      </c>
      <c r="R184" s="8" t="n"/>
      <c r="S184" s="7">
        <f>IF(B184="","",IF(R184&lt;&gt;"",(R184-(B184+C184))*24,(NOW()-(B184+C184))*24))</f>
        <v/>
      </c>
      <c r="T184" s="4">
        <f>IF(B184="","",IF(OR(Q184="Résolu",Q184="Clôturé"),IF(R184&lt;=O184,"Oui","Non"),IF(NOW()&lt;=O184,"En cours","En retard")))</f>
        <v/>
      </c>
    </row>
    <row r="185">
      <c r="A185" s="4">
        <f>IF(B185="","","Inc-Demo-"&amp;TEXT(ROW()-5,"0000"))</f>
        <v/>
      </c>
      <c r="B185" s="8" t="n"/>
      <c r="C185" s="9" t="n"/>
      <c r="N185" s="4">
        <f>IF(M185="","",VLOOKUP(M185,Parametres_SLA!$A$5:$B$8,2,FALSE))</f>
        <v/>
      </c>
      <c r="O185" s="5">
        <f>IF(B185="","",B185+C185+N185/24)</f>
        <v/>
      </c>
      <c r="R185" s="8" t="n"/>
      <c r="S185" s="7">
        <f>IF(B185="","",IF(R185&lt;&gt;"",(R185-(B185+C185))*24,(NOW()-(B185+C185))*24))</f>
        <v/>
      </c>
      <c r="T185" s="4">
        <f>IF(B185="","",IF(OR(Q185="Résolu",Q185="Clôturé"),IF(R185&lt;=O185,"Oui","Non"),IF(NOW()&lt;=O185,"En cours","En retard")))</f>
        <v/>
      </c>
    </row>
    <row r="186">
      <c r="A186" s="4">
        <f>IF(B186="","","Inc-Demo-"&amp;TEXT(ROW()-5,"0000"))</f>
        <v/>
      </c>
      <c r="B186" s="8" t="n"/>
      <c r="C186" s="9" t="n"/>
      <c r="N186" s="4">
        <f>IF(M186="","",VLOOKUP(M186,Parametres_SLA!$A$5:$B$8,2,FALSE))</f>
        <v/>
      </c>
      <c r="O186" s="5">
        <f>IF(B186="","",B186+C186+N186/24)</f>
        <v/>
      </c>
      <c r="R186" s="8" t="n"/>
      <c r="S186" s="7">
        <f>IF(B186="","",IF(R186&lt;&gt;"",(R186-(B186+C186))*24,(NOW()-(B186+C186))*24))</f>
        <v/>
      </c>
      <c r="T186" s="4">
        <f>IF(B186="","",IF(OR(Q186="Résolu",Q186="Clôturé"),IF(R186&lt;=O186,"Oui","Non"),IF(NOW()&lt;=O186,"En cours","En retard")))</f>
        <v/>
      </c>
    </row>
    <row r="187">
      <c r="A187" s="4">
        <f>IF(B187="","","Inc-Demo-"&amp;TEXT(ROW()-5,"0000"))</f>
        <v/>
      </c>
      <c r="B187" s="8" t="n"/>
      <c r="C187" s="9" t="n"/>
      <c r="N187" s="4">
        <f>IF(M187="","",VLOOKUP(M187,Parametres_SLA!$A$5:$B$8,2,FALSE))</f>
        <v/>
      </c>
      <c r="O187" s="5">
        <f>IF(B187="","",B187+C187+N187/24)</f>
        <v/>
      </c>
      <c r="R187" s="8" t="n"/>
      <c r="S187" s="7">
        <f>IF(B187="","",IF(R187&lt;&gt;"",(R187-(B187+C187))*24,(NOW()-(B187+C187))*24))</f>
        <v/>
      </c>
      <c r="T187" s="4">
        <f>IF(B187="","",IF(OR(Q187="Résolu",Q187="Clôturé"),IF(R187&lt;=O187,"Oui","Non"),IF(NOW()&lt;=O187,"En cours","En retard")))</f>
        <v/>
      </c>
    </row>
    <row r="188">
      <c r="A188" s="4">
        <f>IF(B188="","","Inc-Demo-"&amp;TEXT(ROW()-5,"0000"))</f>
        <v/>
      </c>
      <c r="B188" s="8" t="n"/>
      <c r="C188" s="9" t="n"/>
      <c r="N188" s="4">
        <f>IF(M188="","",VLOOKUP(M188,Parametres_SLA!$A$5:$B$8,2,FALSE))</f>
        <v/>
      </c>
      <c r="O188" s="5">
        <f>IF(B188="","",B188+C188+N188/24)</f>
        <v/>
      </c>
      <c r="R188" s="8" t="n"/>
      <c r="S188" s="7">
        <f>IF(B188="","",IF(R188&lt;&gt;"",(R188-(B188+C188))*24,(NOW()-(B188+C188))*24))</f>
        <v/>
      </c>
      <c r="T188" s="4">
        <f>IF(B188="","",IF(OR(Q188="Résolu",Q188="Clôturé"),IF(R188&lt;=O188,"Oui","Non"),IF(NOW()&lt;=O188,"En cours","En retard")))</f>
        <v/>
      </c>
    </row>
    <row r="189">
      <c r="A189" s="4">
        <f>IF(B189="","","Inc-Demo-"&amp;TEXT(ROW()-5,"0000"))</f>
        <v/>
      </c>
      <c r="B189" s="8" t="n"/>
      <c r="C189" s="9" t="n"/>
      <c r="N189" s="4">
        <f>IF(M189="","",VLOOKUP(M189,Parametres_SLA!$A$5:$B$8,2,FALSE))</f>
        <v/>
      </c>
      <c r="O189" s="5">
        <f>IF(B189="","",B189+C189+N189/24)</f>
        <v/>
      </c>
      <c r="R189" s="8" t="n"/>
      <c r="S189" s="7">
        <f>IF(B189="","",IF(R189&lt;&gt;"",(R189-(B189+C189))*24,(NOW()-(B189+C189))*24))</f>
        <v/>
      </c>
      <c r="T189" s="4">
        <f>IF(B189="","",IF(OR(Q189="Résolu",Q189="Clôturé"),IF(R189&lt;=O189,"Oui","Non"),IF(NOW()&lt;=O189,"En cours","En retard")))</f>
        <v/>
      </c>
    </row>
    <row r="190">
      <c r="A190" s="4">
        <f>IF(B190="","","Inc-Demo-"&amp;TEXT(ROW()-5,"0000"))</f>
        <v/>
      </c>
      <c r="B190" s="8" t="n"/>
      <c r="C190" s="9" t="n"/>
      <c r="N190" s="4">
        <f>IF(M190="","",VLOOKUP(M190,Parametres_SLA!$A$5:$B$8,2,FALSE))</f>
        <v/>
      </c>
      <c r="O190" s="5">
        <f>IF(B190="","",B190+C190+N190/24)</f>
        <v/>
      </c>
      <c r="R190" s="8" t="n"/>
      <c r="S190" s="7">
        <f>IF(B190="","",IF(R190&lt;&gt;"",(R190-(B190+C190))*24,(NOW()-(B190+C190))*24))</f>
        <v/>
      </c>
      <c r="T190" s="4">
        <f>IF(B190="","",IF(OR(Q190="Résolu",Q190="Clôturé"),IF(R190&lt;=O190,"Oui","Non"),IF(NOW()&lt;=O190,"En cours","En retard")))</f>
        <v/>
      </c>
    </row>
    <row r="191">
      <c r="A191" s="4">
        <f>IF(B191="","","Inc-Demo-"&amp;TEXT(ROW()-5,"0000"))</f>
        <v/>
      </c>
      <c r="B191" s="8" t="n"/>
      <c r="C191" s="9" t="n"/>
      <c r="N191" s="4">
        <f>IF(M191="","",VLOOKUP(M191,Parametres_SLA!$A$5:$B$8,2,FALSE))</f>
        <v/>
      </c>
      <c r="O191" s="5">
        <f>IF(B191="","",B191+C191+N191/24)</f>
        <v/>
      </c>
      <c r="R191" s="8" t="n"/>
      <c r="S191" s="7">
        <f>IF(B191="","",IF(R191&lt;&gt;"",(R191-(B191+C191))*24,(NOW()-(B191+C191))*24))</f>
        <v/>
      </c>
      <c r="T191" s="4">
        <f>IF(B191="","",IF(OR(Q191="Résolu",Q191="Clôturé"),IF(R191&lt;=O191,"Oui","Non"),IF(NOW()&lt;=O191,"En cours","En retard")))</f>
        <v/>
      </c>
    </row>
    <row r="192">
      <c r="A192" s="4">
        <f>IF(B192="","","Inc-Demo-"&amp;TEXT(ROW()-5,"0000"))</f>
        <v/>
      </c>
      <c r="B192" s="8" t="n"/>
      <c r="C192" s="9" t="n"/>
      <c r="N192" s="4">
        <f>IF(M192="","",VLOOKUP(M192,Parametres_SLA!$A$5:$B$8,2,FALSE))</f>
        <v/>
      </c>
      <c r="O192" s="5">
        <f>IF(B192="","",B192+C192+N192/24)</f>
        <v/>
      </c>
      <c r="R192" s="8" t="n"/>
      <c r="S192" s="7">
        <f>IF(B192="","",IF(R192&lt;&gt;"",(R192-(B192+C192))*24,(NOW()-(B192+C192))*24))</f>
        <v/>
      </c>
      <c r="T192" s="4">
        <f>IF(B192="","",IF(OR(Q192="Résolu",Q192="Clôturé"),IF(R192&lt;=O192,"Oui","Non"),IF(NOW()&lt;=O192,"En cours","En retard")))</f>
        <v/>
      </c>
    </row>
    <row r="193">
      <c r="A193" s="4">
        <f>IF(B193="","","Inc-Demo-"&amp;TEXT(ROW()-5,"0000"))</f>
        <v/>
      </c>
      <c r="B193" s="8" t="n"/>
      <c r="C193" s="9" t="n"/>
      <c r="N193" s="4">
        <f>IF(M193="","",VLOOKUP(M193,Parametres_SLA!$A$5:$B$8,2,FALSE))</f>
        <v/>
      </c>
      <c r="O193" s="5">
        <f>IF(B193="","",B193+C193+N193/24)</f>
        <v/>
      </c>
      <c r="R193" s="8" t="n"/>
      <c r="S193" s="7">
        <f>IF(B193="","",IF(R193&lt;&gt;"",(R193-(B193+C193))*24,(NOW()-(B193+C193))*24))</f>
        <v/>
      </c>
      <c r="T193" s="4">
        <f>IF(B193="","",IF(OR(Q193="Résolu",Q193="Clôturé"),IF(R193&lt;=O193,"Oui","Non"),IF(NOW()&lt;=O193,"En cours","En retard")))</f>
        <v/>
      </c>
    </row>
    <row r="194">
      <c r="A194" s="4">
        <f>IF(B194="","","Inc-Demo-"&amp;TEXT(ROW()-5,"0000"))</f>
        <v/>
      </c>
      <c r="B194" s="8" t="n"/>
      <c r="C194" s="9" t="n"/>
      <c r="N194" s="4">
        <f>IF(M194="","",VLOOKUP(M194,Parametres_SLA!$A$5:$B$8,2,FALSE))</f>
        <v/>
      </c>
      <c r="O194" s="5">
        <f>IF(B194="","",B194+C194+N194/24)</f>
        <v/>
      </c>
      <c r="R194" s="8" t="n"/>
      <c r="S194" s="7">
        <f>IF(B194="","",IF(R194&lt;&gt;"",(R194-(B194+C194))*24,(NOW()-(B194+C194))*24))</f>
        <v/>
      </c>
      <c r="T194" s="4">
        <f>IF(B194="","",IF(OR(Q194="Résolu",Q194="Clôturé"),IF(R194&lt;=O194,"Oui","Non"),IF(NOW()&lt;=O194,"En cours","En retard")))</f>
        <v/>
      </c>
    </row>
    <row r="195">
      <c r="A195" s="4">
        <f>IF(B195="","","Inc-Demo-"&amp;TEXT(ROW()-5,"0000"))</f>
        <v/>
      </c>
      <c r="B195" s="8" t="n"/>
      <c r="C195" s="9" t="n"/>
      <c r="N195" s="4">
        <f>IF(M195="","",VLOOKUP(M195,Parametres_SLA!$A$5:$B$8,2,FALSE))</f>
        <v/>
      </c>
      <c r="O195" s="5">
        <f>IF(B195="","",B195+C195+N195/24)</f>
        <v/>
      </c>
      <c r="R195" s="8" t="n"/>
      <c r="S195" s="7">
        <f>IF(B195="","",IF(R195&lt;&gt;"",(R195-(B195+C195))*24,(NOW()-(B195+C195))*24))</f>
        <v/>
      </c>
      <c r="T195" s="4">
        <f>IF(B195="","",IF(OR(Q195="Résolu",Q195="Clôturé"),IF(R195&lt;=O195,"Oui","Non"),IF(NOW()&lt;=O195,"En cours","En retard")))</f>
        <v/>
      </c>
    </row>
    <row r="196">
      <c r="A196" s="4">
        <f>IF(B196="","","Inc-Demo-"&amp;TEXT(ROW()-5,"0000"))</f>
        <v/>
      </c>
      <c r="B196" s="8" t="n"/>
      <c r="C196" s="9" t="n"/>
      <c r="N196" s="4">
        <f>IF(M196="","",VLOOKUP(M196,Parametres_SLA!$A$5:$B$8,2,FALSE))</f>
        <v/>
      </c>
      <c r="O196" s="5">
        <f>IF(B196="","",B196+C196+N196/24)</f>
        <v/>
      </c>
      <c r="R196" s="8" t="n"/>
      <c r="S196" s="7">
        <f>IF(B196="","",IF(R196&lt;&gt;"",(R196-(B196+C196))*24,(NOW()-(B196+C196))*24))</f>
        <v/>
      </c>
      <c r="T196" s="4">
        <f>IF(B196="","",IF(OR(Q196="Résolu",Q196="Clôturé"),IF(R196&lt;=O196,"Oui","Non"),IF(NOW()&lt;=O196,"En cours","En retard")))</f>
        <v/>
      </c>
    </row>
    <row r="197">
      <c r="A197" s="4">
        <f>IF(B197="","","Inc-Demo-"&amp;TEXT(ROW()-5,"0000"))</f>
        <v/>
      </c>
      <c r="B197" s="8" t="n"/>
      <c r="C197" s="9" t="n"/>
      <c r="N197" s="4">
        <f>IF(M197="","",VLOOKUP(M197,Parametres_SLA!$A$5:$B$8,2,FALSE))</f>
        <v/>
      </c>
      <c r="O197" s="5">
        <f>IF(B197="","",B197+C197+N197/24)</f>
        <v/>
      </c>
      <c r="R197" s="8" t="n"/>
      <c r="S197" s="7">
        <f>IF(B197="","",IF(R197&lt;&gt;"",(R197-(B197+C197))*24,(NOW()-(B197+C197))*24))</f>
        <v/>
      </c>
      <c r="T197" s="4">
        <f>IF(B197="","",IF(OR(Q197="Résolu",Q197="Clôturé"),IF(R197&lt;=O197,"Oui","Non"),IF(NOW()&lt;=O197,"En cours","En retard")))</f>
        <v/>
      </c>
    </row>
    <row r="198">
      <c r="A198" s="4">
        <f>IF(B198="","","Inc-Demo-"&amp;TEXT(ROW()-5,"0000"))</f>
        <v/>
      </c>
      <c r="B198" s="8" t="n"/>
      <c r="C198" s="9" t="n"/>
      <c r="N198" s="4">
        <f>IF(M198="","",VLOOKUP(M198,Parametres_SLA!$A$5:$B$8,2,FALSE))</f>
        <v/>
      </c>
      <c r="O198" s="5">
        <f>IF(B198="","",B198+C198+N198/24)</f>
        <v/>
      </c>
      <c r="R198" s="8" t="n"/>
      <c r="S198" s="7">
        <f>IF(B198="","",IF(R198&lt;&gt;"",(R198-(B198+C198))*24,(NOW()-(B198+C198))*24))</f>
        <v/>
      </c>
      <c r="T198" s="4">
        <f>IF(B198="","",IF(OR(Q198="Résolu",Q198="Clôturé"),IF(R198&lt;=O198,"Oui","Non"),IF(NOW()&lt;=O198,"En cours","En retard")))</f>
        <v/>
      </c>
    </row>
    <row r="199">
      <c r="A199" s="4">
        <f>IF(B199="","","Inc-Demo-"&amp;TEXT(ROW()-5,"0000"))</f>
        <v/>
      </c>
      <c r="B199" s="8" t="n"/>
      <c r="C199" s="9" t="n"/>
      <c r="N199" s="4">
        <f>IF(M199="","",VLOOKUP(M199,Parametres_SLA!$A$5:$B$8,2,FALSE))</f>
        <v/>
      </c>
      <c r="O199" s="5">
        <f>IF(B199="","",B199+C199+N199/24)</f>
        <v/>
      </c>
      <c r="R199" s="8" t="n"/>
      <c r="S199" s="7">
        <f>IF(B199="","",IF(R199&lt;&gt;"",(R199-(B199+C199))*24,(NOW()-(B199+C199))*24))</f>
        <v/>
      </c>
      <c r="T199" s="4">
        <f>IF(B199="","",IF(OR(Q199="Résolu",Q199="Clôturé"),IF(R199&lt;=O199,"Oui","Non"),IF(NOW()&lt;=O199,"En cours","En retard")))</f>
        <v/>
      </c>
    </row>
    <row r="200">
      <c r="A200" s="4">
        <f>IF(B200="","","Inc-Demo-"&amp;TEXT(ROW()-5,"0000"))</f>
        <v/>
      </c>
      <c r="B200" s="8" t="n"/>
      <c r="C200" s="9" t="n"/>
      <c r="N200" s="4">
        <f>IF(M200="","",VLOOKUP(M200,Parametres_SLA!$A$5:$B$8,2,FALSE))</f>
        <v/>
      </c>
      <c r="O200" s="5">
        <f>IF(B200="","",B200+C200+N200/24)</f>
        <v/>
      </c>
      <c r="R200" s="8" t="n"/>
      <c r="S200" s="7">
        <f>IF(B200="","",IF(R200&lt;&gt;"",(R200-(B200+C200))*24,(NOW()-(B200+C200))*24))</f>
        <v/>
      </c>
      <c r="T200" s="4">
        <f>IF(B200="","",IF(OR(Q200="Résolu",Q200="Clôturé"),IF(R200&lt;=O200,"Oui","Non"),IF(NOW()&lt;=O200,"En cours","En retard")))</f>
        <v/>
      </c>
    </row>
    <row r="201">
      <c r="A201" s="4">
        <f>IF(B201="","","Inc-Demo-"&amp;TEXT(ROW()-5,"0000"))</f>
        <v/>
      </c>
      <c r="B201" s="8" t="n"/>
      <c r="C201" s="9" t="n"/>
      <c r="N201" s="4">
        <f>IF(M201="","",VLOOKUP(M201,Parametres_SLA!$A$5:$B$8,2,FALSE))</f>
        <v/>
      </c>
      <c r="O201" s="5">
        <f>IF(B201="","",B201+C201+N201/24)</f>
        <v/>
      </c>
      <c r="R201" s="8" t="n"/>
      <c r="S201" s="7">
        <f>IF(B201="","",IF(R201&lt;&gt;"",(R201-(B201+C201))*24,(NOW()-(B201+C201))*24))</f>
        <v/>
      </c>
      <c r="T201" s="4">
        <f>IF(B201="","",IF(OR(Q201="Résolu",Q201="Clôturé"),IF(R201&lt;=O201,"Oui","Non"),IF(NOW()&lt;=O201,"En cours","En retard")))</f>
        <v/>
      </c>
    </row>
    <row r="202">
      <c r="A202" s="4">
        <f>IF(B202="","","Inc-Demo-"&amp;TEXT(ROW()-5,"0000"))</f>
        <v/>
      </c>
      <c r="B202" s="8" t="n"/>
      <c r="C202" s="9" t="n"/>
      <c r="N202" s="4">
        <f>IF(M202="","",VLOOKUP(M202,Parametres_SLA!$A$5:$B$8,2,FALSE))</f>
        <v/>
      </c>
      <c r="O202" s="5">
        <f>IF(B202="","",B202+C202+N202/24)</f>
        <v/>
      </c>
      <c r="R202" s="8" t="n"/>
      <c r="S202" s="7">
        <f>IF(B202="","",IF(R202&lt;&gt;"",(R202-(B202+C202))*24,(NOW()-(B202+C202))*24))</f>
        <v/>
      </c>
      <c r="T202" s="4">
        <f>IF(B202="","",IF(OR(Q202="Résolu",Q202="Clôturé"),IF(R202&lt;=O202,"Oui","Non"),IF(NOW()&lt;=O202,"En cours","En retard")))</f>
        <v/>
      </c>
    </row>
    <row r="203">
      <c r="A203" s="4">
        <f>IF(B203="","","Inc-Demo-"&amp;TEXT(ROW()-5,"0000"))</f>
        <v/>
      </c>
      <c r="B203" s="8" t="n"/>
      <c r="C203" s="9" t="n"/>
      <c r="N203" s="4">
        <f>IF(M203="","",VLOOKUP(M203,Parametres_SLA!$A$5:$B$8,2,FALSE))</f>
        <v/>
      </c>
      <c r="O203" s="5">
        <f>IF(B203="","",B203+C203+N203/24)</f>
        <v/>
      </c>
      <c r="R203" s="8" t="n"/>
      <c r="S203" s="7">
        <f>IF(B203="","",IF(R203&lt;&gt;"",(R203-(B203+C203))*24,(NOW()-(B203+C203))*24))</f>
        <v/>
      </c>
      <c r="T203" s="4">
        <f>IF(B203="","",IF(OR(Q203="Résolu",Q203="Clôturé"),IF(R203&lt;=O203,"Oui","Non"),IF(NOW()&lt;=O203,"En cours","En retard")))</f>
        <v/>
      </c>
    </row>
    <row r="204">
      <c r="A204" s="4">
        <f>IF(B204="","","Inc-Demo-"&amp;TEXT(ROW()-5,"0000"))</f>
        <v/>
      </c>
      <c r="B204" s="8" t="n"/>
      <c r="C204" s="9" t="n"/>
      <c r="N204" s="4">
        <f>IF(M204="","",VLOOKUP(M204,Parametres_SLA!$A$5:$B$8,2,FALSE))</f>
        <v/>
      </c>
      <c r="O204" s="5">
        <f>IF(B204="","",B204+C204+N204/24)</f>
        <v/>
      </c>
      <c r="R204" s="8" t="n"/>
      <c r="S204" s="7">
        <f>IF(B204="","",IF(R204&lt;&gt;"",(R204-(B204+C204))*24,(NOW()-(B204+C204))*24))</f>
        <v/>
      </c>
      <c r="T204" s="4">
        <f>IF(B204="","",IF(OR(Q204="Résolu",Q204="Clôturé"),IF(R204&lt;=O204,"Oui","Non"),IF(NOW()&lt;=O204,"En cours","En retard")))</f>
        <v/>
      </c>
    </row>
    <row r="205">
      <c r="A205" s="4">
        <f>IF(B205="","","Inc-Demo-"&amp;TEXT(ROW()-5,"0000"))</f>
        <v/>
      </c>
      <c r="B205" s="8" t="n"/>
      <c r="C205" s="9" t="n"/>
      <c r="N205" s="4">
        <f>IF(M205="","",VLOOKUP(M205,Parametres_SLA!$A$5:$B$8,2,FALSE))</f>
        <v/>
      </c>
      <c r="O205" s="5">
        <f>IF(B205="","",B205+C205+N205/24)</f>
        <v/>
      </c>
      <c r="R205" s="8" t="n"/>
      <c r="S205" s="7">
        <f>IF(B205="","",IF(R205&lt;&gt;"",(R205-(B205+C205))*24,(NOW()-(B205+C205))*24))</f>
        <v/>
      </c>
      <c r="T205" s="4">
        <f>IF(B205="","",IF(OR(Q205="Résolu",Q205="Clôturé"),IF(R205&lt;=O205,"Oui","Non"),IF(NOW()&lt;=O205,"En cours","En retard")))</f>
        <v/>
      </c>
    </row>
  </sheetData>
  <autoFilter ref="A5:X205"/>
  <mergeCells count="2">
    <mergeCell ref="A2:X2"/>
    <mergeCell ref="A1:X1"/>
  </mergeCells>
  <conditionalFormatting sqref="T6:T205">
    <cfRule type="expression" priority="1" dxfId="0">
      <formula>T6="Non"</formula>
    </cfRule>
    <cfRule type="expression" priority="2" dxfId="0">
      <formula>T6="En retard"</formula>
    </cfRule>
    <cfRule type="expression" priority="3" dxfId="1">
      <formula>T6="Oui"</formula>
    </cfRule>
  </conditionalFormatting>
  <conditionalFormatting sqref="M6:M205">
    <cfRule type="expression" priority="4" dxfId="0">
      <formula>M6="Critique"</formula>
    </cfRule>
  </conditionalFormatting>
  <dataValidations count="6">
    <dataValidation sqref="D6:D205" showDropDown="0" showInputMessage="0" showErrorMessage="0" allowBlank="1" error="Choisir une valeur dans la liste." type="list">
      <formula1>=Listes!$G$4:$G$9</formula1>
    </dataValidation>
    <dataValidation sqref="L6:L205" showDropDown="0" showInputMessage="0" showErrorMessage="0" allowBlank="1" error="Choisir une valeur dans la liste." type="list">
      <formula1>=Listes!$E$4:$E$14</formula1>
    </dataValidation>
    <dataValidation sqref="M6:M205" showDropDown="0" showInputMessage="0" showErrorMessage="0" allowBlank="1" error="Choisir une valeur dans la liste." type="list">
      <formula1>=Listes!$C$4:$C$7</formula1>
    </dataValidation>
    <dataValidation sqref="P6:P205" showDropDown="0" showInputMessage="0" showErrorMessage="0" allowBlank="1" error="Choisir une valeur dans la liste." type="list">
      <formula1>=Listes!$I$4:$I$9</formula1>
    </dataValidation>
    <dataValidation sqref="Q6:Q205" showDropDown="0" showInputMessage="0" showErrorMessage="0" allowBlank="1" error="Choisir une valeur dans la liste." type="list">
      <formula1>=Listes!$A$4:$A$10</formula1>
    </dataValidation>
    <dataValidation sqref="W6:W205" showDropDown="0" showInputMessage="0" showErrorMessage="0" allowBlank="1" error="Choisir une valeur dans la liste." type="list">
      <formula1>=Listes!$A$28:$A$32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8" customWidth="1" min="3" max="3"/>
    <col width="26" customWidth="1" min="4" max="4"/>
    <col width="13" customWidth="1" min="5" max="5"/>
    <col width="16" customWidth="1" min="6" max="6"/>
    <col width="14" customWidth="1" min="7" max="7"/>
    <col width="20" customWidth="1" min="8" max="8"/>
  </cols>
  <sheetData>
    <row r="1">
      <c r="A1" s="1" t="inlineStr">
        <is>
          <t>FAI AllSolutions — Tableau de bord opérationnel — DÉMO</t>
        </is>
      </c>
    </row>
    <row r="2">
      <c r="A2" s="2" t="inlineStr">
        <is>
          <t>Indicateurs basés exclusivement sur les données synthétiques du registre.</t>
        </is>
      </c>
    </row>
    <row r="3"/>
    <row r="4">
      <c r="A4" s="10" t="inlineStr">
        <is>
          <t>Total incidents</t>
        </is>
      </c>
      <c r="D4" s="10" t="inlineStr">
        <is>
          <t>Ouverts</t>
        </is>
      </c>
      <c r="G4" s="10" t="inlineStr">
        <is>
          <t>Critiques</t>
        </is>
      </c>
      <c r="J4" s="10" t="inlineStr">
        <is>
          <t>SLA en retard</t>
        </is>
      </c>
    </row>
    <row r="5">
      <c r="A5" s="11">
        <f>COUNTIF(Registre_Incidents!$B$6:$B$205,"&lt;&gt;")</f>
        <v/>
      </c>
      <c r="D5" s="11">
        <f>COUNTIFS(Registre_Incidents!$B$6:$B$205,"&lt;&gt;",Registre_Incidents!$Q$6:$Q$205,"&lt;&gt;Résolu",Registre_Incidents!$Q$6:$Q$205,"&lt;&gt;Clôturé")</f>
        <v/>
      </c>
      <c r="G5" s="11">
        <f>COUNTIFS(Registre_Incidents!$B$6:$B$205,"&lt;&gt;",Registre_Incidents!$M$6:$M$205,"Critique")</f>
        <v/>
      </c>
      <c r="J5" s="11">
        <f>COUNTIF(Registre_Incidents!$T$6:$T$205,"En retard")</f>
        <v/>
      </c>
    </row>
    <row r="6"/>
    <row r="7"/>
    <row r="8">
      <c r="A8" s="10" t="inlineStr">
        <is>
          <t>Taux respect SLA</t>
        </is>
      </c>
      <c r="D8" s="10" t="inlineStr">
        <is>
          <t>Durée moyenne (h)</t>
        </is>
      </c>
      <c r="G8" s="10" t="inlineStr">
        <is>
          <t>Résolus / clôturés</t>
        </is>
      </c>
      <c r="J8" s="10" t="inlineStr">
        <is>
          <t>Escaladés</t>
        </is>
      </c>
    </row>
    <row r="9">
      <c r="A9" s="11">
        <f>IFERROR(COUNTIF(Registre_Incidents!$T$6:$T$205,"Oui")/(COUNTIF(Registre_Incidents!$T$6:$T$205,"Oui")+COUNTIF(Registre_Incidents!$T$6:$T$205,"Non")),0)</f>
        <v/>
      </c>
      <c r="D9" s="11">
        <f>IFERROR(AVERAGEIF(Registre_Incidents!$S$6:$S$205,"&gt;0"),0)</f>
        <v/>
      </c>
      <c r="G9" s="11">
        <f>COUNTIF(Registre_Incidents!$Q$6:$Q$205,"Résolu")+COUNTIF(Registre_Incidents!$Q$6:$Q$205,"Clôturé")</f>
        <v/>
      </c>
      <c r="J9" s="11">
        <f>COUNTIFS(Registre_Incidents!$B$6:$B$205,"&lt;&gt;",Registre_Incidents!$W$6:$W$205,"&lt;&gt;Non",Registre_Incidents!$W$6:$W$205,"&lt;&gt;")</f>
        <v/>
      </c>
    </row>
    <row r="10"/>
    <row r="11"/>
    <row r="12"/>
    <row r="13">
      <c r="A13" s="4" t="inlineStr">
        <is>
          <t>Statut</t>
        </is>
      </c>
      <c r="B13" s="4" t="inlineStr">
        <is>
          <t>Nombre</t>
        </is>
      </c>
      <c r="D13" s="4" t="inlineStr">
        <is>
          <t>Priorité</t>
        </is>
      </c>
      <c r="E13" s="4" t="inlineStr">
        <is>
          <t>Nombre</t>
        </is>
      </c>
      <c r="G13" s="12" t="inlineStr">
        <is>
          <t>Rappel</t>
        </is>
      </c>
    </row>
    <row r="14">
      <c r="A14" s="4" t="inlineStr">
        <is>
          <t>Ouvert</t>
        </is>
      </c>
      <c r="B14" s="4">
        <f>COUNTIF(Registre_Incidents!$Q$6:$Q$205,A14)</f>
        <v/>
      </c>
      <c r="D14" s="4" t="inlineStr">
        <is>
          <t>Critique</t>
        </is>
      </c>
      <c r="E14" s="4">
        <f>COUNTIF(Registre_Incidents!$M$6:$M$205,D14)</f>
        <v/>
      </c>
      <c r="G14" s="4" t="inlineStr">
        <is>
          <t>Données 100% fictives</t>
        </is>
      </c>
    </row>
    <row r="15">
      <c r="A15" s="4" t="inlineStr">
        <is>
          <t>En cours</t>
        </is>
      </c>
      <c r="B15" s="4">
        <f>COUNTIF(Registre_Incidents!$Q$6:$Q$205,A15)</f>
        <v/>
      </c>
      <c r="D15" s="4" t="inlineStr">
        <is>
          <t>Haute</t>
        </is>
      </c>
      <c r="E15" s="4">
        <f>COUNTIF(Registre_Incidents!$M$6:$M$205,D15)</f>
        <v/>
      </c>
      <c r="G15" s="4" t="inlineStr">
        <is>
          <t>Aucun client réel</t>
        </is>
      </c>
    </row>
    <row r="16">
      <c r="A16" s="4" t="inlineStr">
        <is>
          <t>En attente client</t>
        </is>
      </c>
      <c r="B16" s="4">
        <f>COUNTIF(Registre_Incidents!$Q$6:$Q$205,A16)</f>
        <v/>
      </c>
      <c r="D16" s="4" t="inlineStr">
        <is>
          <t>Moyenne</t>
        </is>
      </c>
      <c r="E16" s="4">
        <f>COUNTIF(Registre_Incidents!$M$6:$M$205,D16)</f>
        <v/>
      </c>
      <c r="G16" s="4" t="inlineStr">
        <is>
          <t>Utiliser pour formation / test</t>
        </is>
      </c>
    </row>
    <row r="17">
      <c r="A17" s="4" t="inlineStr">
        <is>
          <t>Escaladé</t>
        </is>
      </c>
      <c r="B17" s="4">
        <f>COUNTIF(Registre_Incidents!$Q$6:$Q$205,A17)</f>
        <v/>
      </c>
      <c r="D17" s="4" t="inlineStr">
        <is>
          <t>Basse</t>
        </is>
      </c>
      <c r="E17" s="4">
        <f>COUNTIF(Registre_Incidents!$M$6:$M$205,D17)</f>
        <v/>
      </c>
    </row>
    <row r="18">
      <c r="A18" s="4" t="inlineStr">
        <is>
          <t>Résolu</t>
        </is>
      </c>
      <c r="B18" s="4">
        <f>COUNTIF(Registre_Incidents!$Q$6:$Q$205,A18)</f>
        <v/>
      </c>
    </row>
    <row r="19">
      <c r="A19" s="13" t="inlineStr">
        <is>
          <t>Derniers incidents</t>
        </is>
      </c>
      <c r="B19" s="4">
        <f>COUNTIF(Registre_Incidents!$Q$6:$Q$205,A19)</f>
        <v/>
      </c>
    </row>
    <row r="20">
      <c r="A20" s="14" t="inlineStr">
        <is>
          <t>ID</t>
        </is>
      </c>
      <c r="B20" s="14" t="inlineStr">
        <is>
          <t>Date ouverture</t>
        </is>
      </c>
      <c r="C20" s="14" t="inlineStr">
        <is>
          <t>Client</t>
        </is>
      </c>
      <c r="D20" s="14" t="inlineStr">
        <is>
          <t>Catégorie</t>
        </is>
      </c>
      <c r="E20" s="14" t="inlineStr">
        <is>
          <t>Priorité</t>
        </is>
      </c>
      <c r="F20" s="14" t="inlineStr">
        <is>
          <t>Statut</t>
        </is>
      </c>
      <c r="G20" s="14" t="inlineStr">
        <is>
          <t>SLA</t>
        </is>
      </c>
      <c r="H20" s="14" t="inlineStr">
        <is>
          <t>Responsable</t>
        </is>
      </c>
    </row>
    <row r="21">
      <c r="A21" s="4">
        <f>IF(Registre_Incidents!A6="","",Registre_Incidents!A6)</f>
        <v/>
      </c>
      <c r="B21" s="4">
        <f>IF(Registre_Incidents!A6="","",Registre_Incidents!B6)</f>
        <v/>
      </c>
      <c r="C21" s="4">
        <f>IF(Registre_Incidents!A6="","",Registre_Incidents!E6)</f>
        <v/>
      </c>
      <c r="D21" s="4">
        <f>IF(Registre_Incidents!A6="","",Registre_Incidents!L6)</f>
        <v/>
      </c>
      <c r="E21" s="4">
        <f>IF(Registre_Incidents!A6="","",Registre_Incidents!M6)</f>
        <v/>
      </c>
      <c r="F21" s="4">
        <f>IF(Registre_Incidents!A6="","",Registre_Incidents!Q6)</f>
        <v/>
      </c>
      <c r="G21" s="4">
        <f>IF(Registre_Incidents!A6="","",Registre_Incidents!T6)</f>
        <v/>
      </c>
      <c r="H21" s="4">
        <f>IF(Registre_Incidents!A6="","",Registre_Incidents!P6)</f>
        <v/>
      </c>
    </row>
    <row r="22">
      <c r="A22" s="4">
        <f>IF(Registre_Incidents!A7="","",Registre_Incidents!A7)</f>
        <v/>
      </c>
      <c r="B22" s="4">
        <f>IF(Registre_Incidents!A7="","",Registre_Incidents!B7)</f>
        <v/>
      </c>
      <c r="C22" s="4">
        <f>IF(Registre_Incidents!A7="","",Registre_Incidents!E7)</f>
        <v/>
      </c>
      <c r="D22" s="4">
        <f>IF(Registre_Incidents!A7="","",Registre_Incidents!L7)</f>
        <v/>
      </c>
      <c r="E22" s="4">
        <f>IF(Registre_Incidents!A7="","",Registre_Incidents!M7)</f>
        <v/>
      </c>
      <c r="F22" s="4">
        <f>IF(Registre_Incidents!A7="","",Registre_Incidents!Q7)</f>
        <v/>
      </c>
      <c r="G22" s="4">
        <f>IF(Registre_Incidents!A7="","",Registre_Incidents!T7)</f>
        <v/>
      </c>
      <c r="H22" s="4">
        <f>IF(Registre_Incidents!A7="","",Registre_Incidents!P7)</f>
        <v/>
      </c>
    </row>
    <row r="23">
      <c r="A23" s="4">
        <f>IF(Registre_Incidents!A8="","",Registre_Incidents!A8)</f>
        <v/>
      </c>
      <c r="B23" s="4">
        <f>IF(Registre_Incidents!A8="","",Registre_Incidents!B8)</f>
        <v/>
      </c>
      <c r="C23" s="4">
        <f>IF(Registre_Incidents!A8="","",Registre_Incidents!E8)</f>
        <v/>
      </c>
      <c r="D23" s="4">
        <f>IF(Registre_Incidents!A8="","",Registre_Incidents!L8)</f>
        <v/>
      </c>
      <c r="E23" s="4">
        <f>IF(Registre_Incidents!A8="","",Registre_Incidents!M8)</f>
        <v/>
      </c>
      <c r="F23" s="4">
        <f>IF(Registre_Incidents!A8="","",Registre_Incidents!Q8)</f>
        <v/>
      </c>
      <c r="G23" s="4">
        <f>IF(Registre_Incidents!A8="","",Registre_Incidents!T8)</f>
        <v/>
      </c>
      <c r="H23" s="4">
        <f>IF(Registre_Incidents!A8="","",Registre_Incidents!P8)</f>
        <v/>
      </c>
    </row>
    <row r="24">
      <c r="A24" s="4">
        <f>IF(Registre_Incidents!A9="","",Registre_Incidents!A9)</f>
        <v/>
      </c>
      <c r="B24" s="4">
        <f>IF(Registre_Incidents!A9="","",Registre_Incidents!B9)</f>
        <v/>
      </c>
      <c r="C24" s="4">
        <f>IF(Registre_Incidents!A9="","",Registre_Incidents!E9)</f>
        <v/>
      </c>
      <c r="D24" s="4">
        <f>IF(Registre_Incidents!A9="","",Registre_Incidents!L9)</f>
        <v/>
      </c>
      <c r="E24" s="4">
        <f>IF(Registre_Incidents!A9="","",Registre_Incidents!M9)</f>
        <v/>
      </c>
      <c r="F24" s="4">
        <f>IF(Registre_Incidents!A9="","",Registre_Incidents!Q9)</f>
        <v/>
      </c>
      <c r="G24" s="4">
        <f>IF(Registre_Incidents!A9="","",Registre_Incidents!T9)</f>
        <v/>
      </c>
      <c r="H24" s="4">
        <f>IF(Registre_Incidents!A9="","",Registre_Incidents!P9)</f>
        <v/>
      </c>
    </row>
    <row r="25">
      <c r="A25" s="4">
        <f>IF(Registre_Incidents!A10="","",Registre_Incidents!A10)</f>
        <v/>
      </c>
      <c r="B25" s="4">
        <f>IF(Registre_Incidents!A10="","",Registre_Incidents!B10)</f>
        <v/>
      </c>
      <c r="C25" s="4">
        <f>IF(Registre_Incidents!A10="","",Registre_Incidents!E10)</f>
        <v/>
      </c>
      <c r="D25" s="4">
        <f>IF(Registre_Incidents!A10="","",Registre_Incidents!L10)</f>
        <v/>
      </c>
      <c r="E25" s="4">
        <f>IF(Registre_Incidents!A10="","",Registre_Incidents!M10)</f>
        <v/>
      </c>
      <c r="F25" s="4">
        <f>IF(Registre_Incidents!A10="","",Registre_Incidents!Q10)</f>
        <v/>
      </c>
      <c r="G25" s="4">
        <f>IF(Registre_Incidents!A10="","",Registre_Incidents!T10)</f>
        <v/>
      </c>
      <c r="H25" s="4">
        <f>IF(Registre_Incidents!A10="","",Registre_Incidents!P10)</f>
        <v/>
      </c>
    </row>
    <row r="26">
      <c r="A26" s="4">
        <f>IF(Registre_Incidents!A11="","",Registre_Incidents!A11)</f>
        <v/>
      </c>
      <c r="B26" s="4">
        <f>IF(Registre_Incidents!A11="","",Registre_Incidents!B11)</f>
        <v/>
      </c>
      <c r="C26" s="4">
        <f>IF(Registre_Incidents!A11="","",Registre_Incidents!E11)</f>
        <v/>
      </c>
      <c r="D26" s="4">
        <f>IF(Registre_Incidents!A11="","",Registre_Incidents!L11)</f>
        <v/>
      </c>
      <c r="E26" s="4">
        <f>IF(Registre_Incidents!A11="","",Registre_Incidents!M11)</f>
        <v/>
      </c>
      <c r="F26" s="4">
        <f>IF(Registre_Incidents!A11="","",Registre_Incidents!Q11)</f>
        <v/>
      </c>
      <c r="G26" s="4">
        <f>IF(Registre_Incidents!A11="","",Registre_Incidents!T11)</f>
        <v/>
      </c>
      <c r="H26" s="4">
        <f>IF(Registre_Incidents!A11="","",Registre_Incidents!P11)</f>
        <v/>
      </c>
    </row>
    <row r="27">
      <c r="A27" s="4">
        <f>IF(Registre_Incidents!A12="","",Registre_Incidents!A12)</f>
        <v/>
      </c>
      <c r="B27" s="4">
        <f>IF(Registre_Incidents!A12="","",Registre_Incidents!B12)</f>
        <v/>
      </c>
      <c r="C27" s="4">
        <f>IF(Registre_Incidents!A12="","",Registre_Incidents!E12)</f>
        <v/>
      </c>
      <c r="D27" s="4">
        <f>IF(Registre_Incidents!A12="","",Registre_Incidents!L12)</f>
        <v/>
      </c>
      <c r="E27" s="4">
        <f>IF(Registre_Incidents!A12="","",Registre_Incidents!M12)</f>
        <v/>
      </c>
      <c r="F27" s="4">
        <f>IF(Registre_Incidents!A12="","",Registre_Incidents!Q12)</f>
        <v/>
      </c>
      <c r="G27" s="4">
        <f>IF(Registre_Incidents!A12="","",Registre_Incidents!T12)</f>
        <v/>
      </c>
      <c r="H27" s="4">
        <f>IF(Registre_Incidents!A12="","",Registre_Incidents!P12)</f>
        <v/>
      </c>
    </row>
    <row r="28">
      <c r="A28" s="4">
        <f>IF(Registre_Incidents!A13="","",Registre_Incidents!A13)</f>
        <v/>
      </c>
      <c r="B28" s="4">
        <f>IF(Registre_Incidents!A13="","",Registre_Incidents!B13)</f>
        <v/>
      </c>
      <c r="C28" s="4">
        <f>IF(Registre_Incidents!A13="","",Registre_Incidents!E13)</f>
        <v/>
      </c>
      <c r="D28" s="4">
        <f>IF(Registre_Incidents!A13="","",Registre_Incidents!L13)</f>
        <v/>
      </c>
      <c r="E28" s="4">
        <f>IF(Registre_Incidents!A13="","",Registre_Incidents!M13)</f>
        <v/>
      </c>
      <c r="F28" s="4">
        <f>IF(Registre_Incidents!A13="","",Registre_Incidents!Q13)</f>
        <v/>
      </c>
      <c r="G28" s="4">
        <f>IF(Registre_Incidents!A13="","",Registre_Incidents!T13)</f>
        <v/>
      </c>
      <c r="H28" s="4">
        <f>IF(Registre_Incidents!A13="","",Registre_Incidents!P13)</f>
        <v/>
      </c>
    </row>
    <row r="29">
      <c r="A29" s="4">
        <f>IF(Registre_Incidents!A14="","",Registre_Incidents!A14)</f>
        <v/>
      </c>
      <c r="B29" s="4">
        <f>IF(Registre_Incidents!A14="","",Registre_Incidents!B14)</f>
        <v/>
      </c>
      <c r="C29" s="4">
        <f>IF(Registre_Incidents!A14="","",Registre_Incidents!E14)</f>
        <v/>
      </c>
      <c r="D29" s="4">
        <f>IF(Registre_Incidents!A14="","",Registre_Incidents!L14)</f>
        <v/>
      </c>
      <c r="E29" s="4">
        <f>IF(Registre_Incidents!A14="","",Registre_Incidents!M14)</f>
        <v/>
      </c>
      <c r="F29" s="4">
        <f>IF(Registre_Incidents!A14="","",Registre_Incidents!Q14)</f>
        <v/>
      </c>
      <c r="G29" s="4">
        <f>IF(Registre_Incidents!A14="","",Registre_Incidents!T14)</f>
        <v/>
      </c>
      <c r="H29" s="4">
        <f>IF(Registre_Incidents!A14="","",Registre_Incidents!P14)</f>
        <v/>
      </c>
    </row>
    <row r="30">
      <c r="A30" s="4">
        <f>IF(Registre_Incidents!A15="","",Registre_Incidents!A15)</f>
        <v/>
      </c>
      <c r="B30" s="4">
        <f>IF(Registre_Incidents!A15="","",Registre_Incidents!B15)</f>
        <v/>
      </c>
      <c r="C30" s="4">
        <f>IF(Registre_Incidents!A15="","",Registre_Incidents!E15)</f>
        <v/>
      </c>
      <c r="D30" s="4">
        <f>IF(Registre_Incidents!A15="","",Registre_Incidents!L15)</f>
        <v/>
      </c>
      <c r="E30" s="4">
        <f>IF(Registre_Incidents!A15="","",Registre_Incidents!M15)</f>
        <v/>
      </c>
      <c r="F30" s="4">
        <f>IF(Registre_Incidents!A15="","",Registre_Incidents!Q15)</f>
        <v/>
      </c>
      <c r="G30" s="4">
        <f>IF(Registre_Incidents!A15="","",Registre_Incidents!T15)</f>
        <v/>
      </c>
      <c r="H30" s="4">
        <f>IF(Registre_Incidents!A15="","",Registre_Incidents!P15)</f>
        <v/>
      </c>
    </row>
  </sheetData>
  <mergeCells count="18">
    <mergeCell ref="A4:B4"/>
    <mergeCell ref="G4:H4"/>
    <mergeCell ref="A2:L2"/>
    <mergeCell ref="J4:K4"/>
    <mergeCell ref="D8:E8"/>
    <mergeCell ref="G8:H8"/>
    <mergeCell ref="G9:H9"/>
    <mergeCell ref="J5:K5"/>
    <mergeCell ref="A1:L1"/>
    <mergeCell ref="D5:E5"/>
    <mergeCell ref="A5:B5"/>
    <mergeCell ref="G5:H5"/>
    <mergeCell ref="J8:K8"/>
    <mergeCell ref="D4:E4"/>
    <mergeCell ref="A9:B9"/>
    <mergeCell ref="D9:E9"/>
    <mergeCell ref="A8:B8"/>
    <mergeCell ref="J9:K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Guide de démarrage — FAI Registre Incidents — DÉMO</t>
        </is>
      </c>
    </row>
    <row r="2">
      <c r="A2" s="15" t="inlineStr">
        <is>
          <t>AVERTISSEMENT : ce classeur ne contient aucune donnée réelle. Il est prévu pour les essais et la formation.</t>
        </is>
      </c>
    </row>
    <row r="3"/>
    <row r="4" ht="38" customHeight="1">
      <c r="A4" s="16" t="inlineStr">
        <is>
          <t>1. Saisir</t>
        </is>
      </c>
      <c r="B4" s="17" t="inlineStr">
        <is>
          <t>Ajoutez une ligne dans Registre_Incidents à partir de la ligne 6. Les colonnes ID, SLA, échéance, durée et respect SLA sont calculées automatiquement.</t>
        </is>
      </c>
    </row>
    <row r="5" ht="38" customHeight="1">
      <c r="A5" s="16" t="inlineStr">
        <is>
          <t>2. Contrôler</t>
        </is>
      </c>
      <c r="B5" s="17" t="inlineStr">
        <is>
          <t>Utilisez les menus déroulants et les mises en forme rouges pour repérer les dépassements.</t>
        </is>
      </c>
    </row>
    <row r="6" ht="38" customHeight="1">
      <c r="A6" s="16" t="inlineStr">
        <is>
          <t>3. Piloter</t>
        </is>
      </c>
      <c r="B6" s="17" t="inlineStr">
        <is>
          <t>Consultez Tableau_de_bord pour les KPI et les répartitions.</t>
        </is>
      </c>
    </row>
    <row r="7" ht="38" customHeight="1">
      <c r="A7" s="16" t="inlineStr">
        <is>
          <t>4. Approfondir</t>
        </is>
      </c>
      <c r="B7" s="17" t="inlineStr">
        <is>
          <t>Utilisez l’interface web pour filtrer, modifier, valider et exporter les incidents.</t>
        </is>
      </c>
    </row>
  </sheetData>
  <mergeCells count="6"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sheetData>
    <row r="1"/>
    <row r="2"/>
    <row r="3">
      <c r="A3" s="14" t="inlineStr">
        <is>
          <t>Statuts</t>
        </is>
      </c>
      <c r="B3" s="14" t="inlineStr">
        <is>
          <t>Priorités</t>
        </is>
      </c>
      <c r="C3" s="14" t="inlineStr">
        <is>
          <t>Catégories</t>
        </is>
      </c>
      <c r="D3" s="14" t="inlineStr">
        <is>
          <t>Sources</t>
        </is>
      </c>
      <c r="E3" s="14" t="inlineStr">
        <is>
          <t>Responsables</t>
        </is>
      </c>
      <c r="F3" s="14" t="inlineStr">
        <is>
          <t>Escalades</t>
        </is>
      </c>
    </row>
    <row r="4">
      <c r="A4" s="4" t="inlineStr">
        <is>
          <t>Ouvert</t>
        </is>
      </c>
      <c r="B4" s="4" t="inlineStr">
        <is>
          <t>Critique</t>
        </is>
      </c>
      <c r="C4" s="4" t="inlineStr">
        <is>
          <t>Internet indisponible</t>
        </is>
      </c>
      <c r="D4" s="4" t="inlineStr">
        <is>
          <t>Appel</t>
        </is>
      </c>
      <c r="E4" s="4" t="inlineStr">
        <is>
          <t>NOC</t>
        </is>
      </c>
      <c r="F4" s="4" t="inlineStr">
        <is>
          <t>Non</t>
        </is>
      </c>
    </row>
    <row r="5">
      <c r="A5" s="4" t="inlineStr">
        <is>
          <t>En cours</t>
        </is>
      </c>
      <c r="B5" s="4" t="inlineStr">
        <is>
          <t>Haute</t>
        </is>
      </c>
      <c r="C5" s="4" t="inlineStr">
        <is>
          <t>Débit lent / instable</t>
        </is>
      </c>
      <c r="D5" s="4" t="inlineStr">
        <is>
          <t>WhatsApp</t>
        </is>
      </c>
      <c r="E5" s="4" t="inlineStr">
        <is>
          <t>Support niveau 1</t>
        </is>
      </c>
      <c r="F5" s="4" t="inlineStr">
        <is>
          <t>Oui - N2</t>
        </is>
      </c>
    </row>
    <row r="6">
      <c r="A6" s="4" t="inlineStr">
        <is>
          <t>En attente client</t>
        </is>
      </c>
      <c r="B6" s="4" t="inlineStr">
        <is>
          <t>Moyenne</t>
        </is>
      </c>
      <c r="C6" s="4" t="inlineStr">
        <is>
          <t>Latence élevée</t>
        </is>
      </c>
      <c r="D6" s="4" t="inlineStr">
        <is>
          <t>Email</t>
        </is>
      </c>
      <c r="E6" s="4" t="inlineStr">
        <is>
          <t>Support niveau 2</t>
        </is>
      </c>
      <c r="F6" s="4" t="inlineStr">
        <is>
          <t>Oui - Terrain</t>
        </is>
      </c>
    </row>
    <row r="7">
      <c r="A7" s="4" t="inlineStr">
        <is>
          <t>Escaladé</t>
        </is>
      </c>
      <c r="B7" s="4" t="inlineStr">
        <is>
          <t>Basse</t>
        </is>
      </c>
      <c r="C7" s="4" t="inlineStr">
        <is>
          <t>Coupure intermittente</t>
        </is>
      </c>
      <c r="D7" s="4" t="inlineStr">
        <is>
          <t>Supervision UISP</t>
        </is>
      </c>
      <c r="E7" s="4" t="inlineStr">
        <is>
          <t>Équipe terrain</t>
        </is>
      </c>
      <c r="F7" s="4" t="inlineStr">
        <is>
          <t>Oui - Fournisseur</t>
        </is>
      </c>
    </row>
    <row r="8">
      <c r="A8" s="4" t="inlineStr">
        <is>
          <t>Résolu</t>
        </is>
      </c>
      <c r="C8" s="4" t="inlineStr">
        <is>
          <t>Wi-Fi client</t>
        </is>
      </c>
      <c r="D8" s="4" t="inlineStr">
        <is>
          <t>Visite terrain</t>
        </is>
      </c>
      <c r="E8" s="4" t="inlineStr">
        <is>
          <t>Administration</t>
        </is>
      </c>
      <c r="F8" s="4" t="inlineStr">
        <is>
          <t>Oui - Direction</t>
        </is>
      </c>
    </row>
    <row r="9">
      <c r="A9" s="4" t="inlineStr">
        <is>
          <t>Clôturé</t>
        </is>
      </c>
      <c r="C9" s="4" t="inlineStr">
        <is>
          <t>Équipement hors ligne</t>
        </is>
      </c>
      <c r="D9" s="4" t="inlineStr">
        <is>
          <t>Autre</t>
        </is>
      </c>
      <c r="E9" s="4" t="inlineStr">
        <is>
          <t>À assigner</t>
        </is>
      </c>
    </row>
    <row r="10">
      <c r="C10" s="4" t="inlineStr">
        <is>
          <t>Problème alimentation</t>
        </is>
      </c>
    </row>
    <row r="11">
      <c r="C11" s="4" t="inlineStr">
        <is>
          <t>Configuration / accès</t>
        </is>
      </c>
    </row>
    <row r="12">
      <c r="C12" s="4" t="inlineStr">
        <is>
          <t>Facturation liée au service</t>
        </is>
      </c>
    </row>
    <row r="13">
      <c r="C13" s="4" t="inlineStr">
        <is>
          <t>Autre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sheetData>
    <row r="1"/>
    <row r="2"/>
    <row r="3"/>
    <row r="4">
      <c r="A4" s="14" t="inlineStr">
        <is>
          <t>Priorité</t>
        </is>
      </c>
      <c r="B4" s="14" t="inlineStr">
        <is>
          <t>SLA heures</t>
        </is>
      </c>
    </row>
    <row r="5">
      <c r="A5" s="4" t="inlineStr">
        <is>
          <t>Critique</t>
        </is>
      </c>
      <c r="B5" s="4" t="n">
        <v>4</v>
      </c>
    </row>
    <row r="6">
      <c r="A6" s="4" t="inlineStr">
        <is>
          <t>Haute</t>
        </is>
      </c>
      <c r="B6" s="4" t="n">
        <v>8</v>
      </c>
    </row>
    <row r="7">
      <c r="A7" s="4" t="inlineStr">
        <is>
          <t>Moyenne</t>
        </is>
      </c>
      <c r="B7" s="4" t="n">
        <v>24</v>
      </c>
    </row>
    <row r="8">
      <c r="A8" s="4" t="inlineStr">
        <is>
          <t>Basse</t>
        </is>
      </c>
      <c r="B8" s="4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2026-09-29T15:08:02Z</dcterms:created>
  <dcterms:modified xmlns:dcterms="http://purl.org/dc/terms/" xmlns:xsi="http://www.w3.org/2001/XMLSchema-instance" xsi:type="dcterms:W3CDTF">2026-09-29T15:08:03Z</dcterms:modified>
</cp:coreProperties>
</file>